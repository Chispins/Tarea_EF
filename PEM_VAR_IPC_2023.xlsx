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hinkpad\PycharmProjects\Tarea_EF\"/>
    </mc:Choice>
  </mc:AlternateContent>
  <xr:revisionPtr revIDLastSave="0" documentId="13_ncr:1_{B57850CF-F091-4FB6-9D80-6FEB9FA79B18}" xr6:coauthVersionLast="47" xr6:coauthVersionMax="47" xr10:uidLastSave="{00000000-0000-0000-0000-000000000000}"/>
  <bookViews>
    <workbookView xWindow="-108" yWindow="-108" windowWidth="23256" windowHeight="12456" xr2:uid="{00000000-000D-0000-FFFF-FFFF00000000}"/>
  </bookViews>
  <sheets>
    <sheet name="Cuadro" sheetId="1" r:id="rId1"/>
    <sheet name="Metadatos" sheetId="2" r:id="rId2"/>
    <sheet name="Seri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 l="1"/>
  <c r="F20" i="1"/>
  <c r="G20" i="1"/>
  <c r="H22" i="1"/>
  <c r="G22" i="1"/>
  <c r="F22" i="1"/>
  <c r="E22" i="1"/>
  <c r="D22" i="1"/>
  <c r="C20" i="1"/>
  <c r="D20" i="1"/>
  <c r="E20" i="1"/>
  <c r="KH15" i="1"/>
  <c r="KI15" i="1" s="1"/>
  <c r="KJ15" i="1" s="1"/>
  <c r="KK15" i="1" s="1"/>
  <c r="KL15" i="1" s="1"/>
  <c r="KM15" i="1" s="1"/>
  <c r="KN15" i="1" s="1"/>
  <c r="KO15" i="1" s="1"/>
  <c r="KP15" i="1" s="1"/>
  <c r="KG15" i="1"/>
  <c r="KG8" i="1"/>
  <c r="KF8" i="1"/>
  <c r="KJ8" i="1"/>
  <c r="KQ15" i="1"/>
  <c r="KF15" i="1"/>
  <c r="KF13" i="1"/>
  <c r="KF11" i="1"/>
  <c r="KM9" i="1"/>
  <c r="KL9" i="1"/>
  <c r="KK9" i="1"/>
  <c r="KI9" i="1"/>
  <c r="KH9" i="1"/>
  <c r="KG9" i="1"/>
  <c r="KF9" i="1"/>
  <c r="KE8" i="1"/>
  <c r="KJ9" i="1"/>
  <c r="KN9" i="1" s="1"/>
  <c r="KO9" i="1" s="1"/>
  <c r="KP9" i="1" s="1"/>
  <c r="KP8" i="1"/>
  <c r="KO8" i="1"/>
  <c r="KN8" i="1"/>
  <c r="KM8" i="1"/>
  <c r="KL8" i="1"/>
  <c r="KK8" i="1"/>
  <c r="KI8" i="1"/>
  <c r="KH8" i="1"/>
  <c r="KN5" i="1"/>
  <c r="KM5" i="1"/>
  <c r="KL5" i="1" s="1"/>
  <c r="KK5" i="1" s="1"/>
  <c r="KJ5" i="1" s="1"/>
  <c r="KI5" i="1" s="1"/>
  <c r="KH5" i="1" s="1"/>
  <c r="KG5" i="1" s="1"/>
  <c r="KF5" i="1" s="1"/>
  <c r="KE5" i="1" s="1"/>
  <c r="KD5" i="1" s="1"/>
  <c r="KC5" i="1" s="1"/>
  <c r="KB5" i="1" s="1"/>
  <c r="KA5" i="1" s="1"/>
  <c r="JZ5" i="1" s="1"/>
  <c r="JY5" i="1" s="1"/>
  <c r="JX5" i="1" s="1"/>
  <c r="JW5" i="1" s="1"/>
  <c r="JV5" i="1" s="1"/>
  <c r="JU5" i="1" s="1"/>
  <c r="JT5" i="1" s="1"/>
  <c r="JS5" i="1" s="1"/>
  <c r="JR5" i="1" s="1"/>
  <c r="JQ5" i="1" s="1"/>
  <c r="JP5" i="1" s="1"/>
  <c r="JO5" i="1" s="1"/>
  <c r="JN5" i="1" s="1"/>
  <c r="JM5" i="1" s="1"/>
  <c r="JL5" i="1" s="1"/>
  <c r="JK5" i="1" s="1"/>
  <c r="JJ5" i="1" s="1"/>
  <c r="JI5" i="1" s="1"/>
  <c r="JH5" i="1" s="1"/>
  <c r="JG5" i="1" s="1"/>
  <c r="JF5" i="1" s="1"/>
  <c r="JE5" i="1" s="1"/>
  <c r="JD5" i="1" s="1"/>
  <c r="JC5" i="1" s="1"/>
  <c r="JB5" i="1" s="1"/>
  <c r="JA5" i="1" s="1"/>
  <c r="IZ5" i="1" s="1"/>
  <c r="IY5" i="1" s="1"/>
  <c r="IX5" i="1" s="1"/>
  <c r="IW5" i="1" s="1"/>
  <c r="IV5" i="1" s="1"/>
  <c r="IU5" i="1" s="1"/>
  <c r="IT5" i="1" s="1"/>
  <c r="IS5" i="1" s="1"/>
  <c r="IR5" i="1" s="1"/>
  <c r="IQ5" i="1" s="1"/>
  <c r="IP5" i="1" s="1"/>
  <c r="IO5" i="1" s="1"/>
  <c r="IN5" i="1" s="1"/>
  <c r="IM5" i="1" s="1"/>
  <c r="IL5" i="1" s="1"/>
  <c r="IK5" i="1" s="1"/>
  <c r="IJ5" i="1" s="1"/>
  <c r="II5" i="1" s="1"/>
  <c r="IH5" i="1" s="1"/>
  <c r="IG5" i="1" s="1"/>
  <c r="IF5" i="1" s="1"/>
  <c r="IE5" i="1" s="1"/>
  <c r="ID5" i="1" s="1"/>
  <c r="IC5" i="1" s="1"/>
  <c r="IB5" i="1" s="1"/>
  <c r="IA5" i="1" s="1"/>
  <c r="HZ5" i="1" s="1"/>
  <c r="HY5" i="1" s="1"/>
  <c r="HX5" i="1" s="1"/>
  <c r="HW5" i="1" s="1"/>
  <c r="HV5" i="1" s="1"/>
  <c r="HU5" i="1" s="1"/>
  <c r="HT5" i="1" s="1"/>
  <c r="HS5" i="1" s="1"/>
  <c r="HR5" i="1" s="1"/>
  <c r="HQ5" i="1" s="1"/>
  <c r="HP5" i="1" s="1"/>
  <c r="HO5" i="1" s="1"/>
  <c r="HN5" i="1" s="1"/>
  <c r="HM5" i="1" s="1"/>
  <c r="HL5" i="1" s="1"/>
  <c r="HK5" i="1" s="1"/>
  <c r="HJ5" i="1" s="1"/>
  <c r="HI5" i="1" s="1"/>
  <c r="HH5" i="1" s="1"/>
  <c r="HG5" i="1" s="1"/>
  <c r="HF5" i="1" s="1"/>
  <c r="HE5" i="1" s="1"/>
  <c r="HD5" i="1" s="1"/>
  <c r="HC5" i="1" s="1"/>
  <c r="HB5" i="1" s="1"/>
  <c r="HA5" i="1" s="1"/>
  <c r="GZ5" i="1" s="1"/>
  <c r="GY5" i="1" s="1"/>
  <c r="GX5" i="1" s="1"/>
  <c r="GW5" i="1" s="1"/>
  <c r="GV5" i="1" s="1"/>
  <c r="GU5" i="1" s="1"/>
  <c r="GT5" i="1" s="1"/>
  <c r="GS5" i="1" s="1"/>
  <c r="GR5" i="1" s="1"/>
  <c r="GQ5" i="1" s="1"/>
  <c r="GP5" i="1" s="1"/>
  <c r="GO5" i="1" s="1"/>
  <c r="GN5" i="1" s="1"/>
  <c r="GM5" i="1" s="1"/>
  <c r="GL5" i="1" s="1"/>
  <c r="GK5" i="1" s="1"/>
  <c r="GJ5" i="1" s="1"/>
  <c r="GI5" i="1" s="1"/>
  <c r="GH5" i="1" s="1"/>
  <c r="GG5" i="1" s="1"/>
  <c r="GF5" i="1" s="1"/>
  <c r="GE5" i="1" s="1"/>
  <c r="GD5" i="1" s="1"/>
  <c r="GC5" i="1" s="1"/>
  <c r="GB5" i="1" s="1"/>
  <c r="GA5" i="1" s="1"/>
  <c r="FZ5" i="1" s="1"/>
  <c r="FY5" i="1" s="1"/>
  <c r="FX5" i="1" s="1"/>
  <c r="FW5" i="1" s="1"/>
  <c r="FV5" i="1" s="1"/>
  <c r="FU5" i="1" s="1"/>
  <c r="FT5" i="1" s="1"/>
  <c r="FS5" i="1" s="1"/>
  <c r="FR5" i="1" s="1"/>
  <c r="FQ5" i="1" s="1"/>
  <c r="FP5" i="1" s="1"/>
  <c r="FO5" i="1" s="1"/>
  <c r="FN5" i="1" s="1"/>
  <c r="FM5" i="1" s="1"/>
  <c r="FL5" i="1" s="1"/>
  <c r="FK5" i="1" s="1"/>
  <c r="FJ5" i="1" s="1"/>
  <c r="FI5" i="1" s="1"/>
  <c r="FH5" i="1" s="1"/>
  <c r="FG5" i="1" s="1"/>
  <c r="FF5" i="1" s="1"/>
  <c r="FE5" i="1" s="1"/>
  <c r="FD5" i="1" s="1"/>
  <c r="FC5" i="1" s="1"/>
  <c r="FB5" i="1" s="1"/>
  <c r="FA5" i="1" s="1"/>
  <c r="EZ5" i="1" s="1"/>
  <c r="EY5" i="1" s="1"/>
  <c r="EX5" i="1" s="1"/>
  <c r="EW5" i="1" s="1"/>
  <c r="EV5" i="1" s="1"/>
  <c r="EU5" i="1" s="1"/>
  <c r="ET5" i="1" s="1"/>
  <c r="ES5" i="1" s="1"/>
  <c r="ER5" i="1" s="1"/>
  <c r="EQ5" i="1" s="1"/>
  <c r="EP5" i="1" s="1"/>
  <c r="EO5" i="1" s="1"/>
  <c r="EN5" i="1" s="1"/>
  <c r="EM5" i="1" s="1"/>
  <c r="EL5" i="1" s="1"/>
  <c r="EK5" i="1" s="1"/>
  <c r="EJ5" i="1" s="1"/>
  <c r="EI5" i="1" s="1"/>
  <c r="EH5" i="1" s="1"/>
  <c r="EG5" i="1" s="1"/>
  <c r="EF5" i="1" s="1"/>
  <c r="EE5" i="1" s="1"/>
  <c r="ED5" i="1" s="1"/>
  <c r="EC5" i="1" s="1"/>
  <c r="EB5" i="1" s="1"/>
  <c r="EA5" i="1" s="1"/>
  <c r="DZ5" i="1" s="1"/>
  <c r="DY5" i="1" s="1"/>
  <c r="DX5" i="1" s="1"/>
  <c r="DW5" i="1" s="1"/>
  <c r="DV5" i="1" s="1"/>
  <c r="DU5" i="1" s="1"/>
  <c r="DT5" i="1" s="1"/>
  <c r="DS5" i="1" s="1"/>
  <c r="DR5" i="1" s="1"/>
  <c r="DQ5" i="1" s="1"/>
  <c r="DP5" i="1" s="1"/>
  <c r="DO5" i="1" s="1"/>
  <c r="DN5" i="1" s="1"/>
  <c r="DM5" i="1" s="1"/>
  <c r="DL5" i="1" s="1"/>
  <c r="DK5" i="1" s="1"/>
  <c r="DJ5" i="1" s="1"/>
  <c r="DI5" i="1" s="1"/>
  <c r="DH5" i="1" s="1"/>
  <c r="DG5" i="1" s="1"/>
  <c r="DF5" i="1" s="1"/>
  <c r="DE5" i="1" s="1"/>
  <c r="DD5" i="1" s="1"/>
  <c r="DC5" i="1" s="1"/>
  <c r="DB5" i="1" s="1"/>
  <c r="DA5" i="1" s="1"/>
  <c r="CZ5" i="1" s="1"/>
  <c r="CY5" i="1" s="1"/>
  <c r="CX5" i="1" s="1"/>
  <c r="CW5" i="1" s="1"/>
  <c r="CV5" i="1" s="1"/>
  <c r="CU5" i="1" s="1"/>
  <c r="CT5" i="1" s="1"/>
  <c r="CS5" i="1" s="1"/>
  <c r="CR5" i="1" s="1"/>
  <c r="CQ5" i="1" s="1"/>
  <c r="CP5" i="1" s="1"/>
  <c r="CO5" i="1" s="1"/>
  <c r="CN5" i="1" s="1"/>
  <c r="CM5" i="1" s="1"/>
  <c r="CL5" i="1" s="1"/>
  <c r="CK5" i="1" s="1"/>
  <c r="CJ5" i="1" s="1"/>
  <c r="CI5" i="1" s="1"/>
  <c r="CH5" i="1" s="1"/>
  <c r="CG5" i="1" s="1"/>
  <c r="CF5" i="1" s="1"/>
  <c r="CE5" i="1" s="1"/>
  <c r="CD5" i="1" s="1"/>
  <c r="CC5" i="1" s="1"/>
  <c r="CB5" i="1" s="1"/>
  <c r="CA5" i="1" s="1"/>
  <c r="BZ5" i="1" s="1"/>
  <c r="BY5" i="1" s="1"/>
  <c r="BX5" i="1" s="1"/>
  <c r="BW5" i="1" s="1"/>
  <c r="BV5" i="1" s="1"/>
  <c r="BU5" i="1" s="1"/>
  <c r="BT5" i="1" s="1"/>
  <c r="BS5" i="1" s="1"/>
  <c r="BR5" i="1" s="1"/>
  <c r="BQ5" i="1" s="1"/>
  <c r="BP5" i="1" s="1"/>
  <c r="BO5" i="1" s="1"/>
  <c r="BN5" i="1" s="1"/>
  <c r="BM5" i="1" s="1"/>
  <c r="BL5" i="1" s="1"/>
  <c r="BK5" i="1" s="1"/>
  <c r="BJ5" i="1" s="1"/>
  <c r="BI5" i="1" s="1"/>
  <c r="BH5" i="1" s="1"/>
  <c r="BG5" i="1" s="1"/>
  <c r="BF5" i="1" s="1"/>
  <c r="BE5" i="1" s="1"/>
  <c r="BD5" i="1" s="1"/>
  <c r="BC5" i="1" s="1"/>
  <c r="BB5" i="1" s="1"/>
  <c r="BA5" i="1" s="1"/>
  <c r="AZ5" i="1" s="1"/>
  <c r="AY5" i="1" s="1"/>
  <c r="AX5" i="1" s="1"/>
  <c r="AW5" i="1" s="1"/>
  <c r="AV5" i="1" s="1"/>
  <c r="AU5" i="1" s="1"/>
  <c r="AT5" i="1" s="1"/>
  <c r="AS5" i="1" s="1"/>
  <c r="AR5" i="1" s="1"/>
  <c r="AQ5" i="1" s="1"/>
  <c r="AP5" i="1" s="1"/>
  <c r="AO5" i="1" s="1"/>
  <c r="AN5" i="1" s="1"/>
  <c r="AM5" i="1" s="1"/>
  <c r="AL5" i="1" s="1"/>
  <c r="AK5" i="1" s="1"/>
  <c r="AJ5" i="1" s="1"/>
  <c r="AI5" i="1" s="1"/>
  <c r="AH5" i="1" s="1"/>
  <c r="AG5" i="1" s="1"/>
  <c r="AF5" i="1" s="1"/>
  <c r="AE5" i="1" s="1"/>
  <c r="AD5" i="1" s="1"/>
  <c r="AC5" i="1" s="1"/>
  <c r="AB5" i="1" s="1"/>
  <c r="AA5" i="1" s="1"/>
  <c r="Z5" i="1" s="1"/>
  <c r="Y5" i="1" s="1"/>
  <c r="X5" i="1" s="1"/>
  <c r="W5" i="1" s="1"/>
  <c r="V5" i="1" s="1"/>
  <c r="U5" i="1" s="1"/>
  <c r="T5" i="1" s="1"/>
  <c r="S5" i="1" s="1"/>
  <c r="R5" i="1" s="1"/>
  <c r="Q5" i="1" s="1"/>
  <c r="P5" i="1" s="1"/>
  <c r="O5" i="1" s="1"/>
  <c r="N5" i="1" s="1"/>
  <c r="M5" i="1" s="1"/>
  <c r="L5" i="1" s="1"/>
  <c r="K5" i="1" s="1"/>
  <c r="J5" i="1" s="1"/>
  <c r="I5" i="1" s="1"/>
  <c r="H5" i="1" s="1"/>
  <c r="G5" i="1" s="1"/>
  <c r="F5" i="1" s="1"/>
  <c r="E5" i="1" s="1"/>
  <c r="D5" i="1" s="1"/>
  <c r="C5" i="1" s="1"/>
  <c r="KO5" i="1"/>
  <c r="KF17" i="1" l="1"/>
  <c r="KE22" i="1"/>
  <c r="KD22" i="1" l="1"/>
  <c r="KC22" i="1" s="1"/>
  <c r="KB22" i="1" s="1"/>
  <c r="KA22" i="1" s="1"/>
  <c r="JZ22" i="1" s="1"/>
  <c r="JY22" i="1" s="1"/>
  <c r="JX22" i="1" s="1"/>
  <c r="JW22" i="1" s="1"/>
  <c r="JV22" i="1" s="1"/>
  <c r="JU22" i="1" s="1"/>
  <c r="JT22" i="1" s="1"/>
  <c r="JS22" i="1" s="1"/>
  <c r="JR22" i="1" s="1"/>
  <c r="JQ22" i="1" s="1"/>
  <c r="JP22" i="1" s="1"/>
  <c r="JO22" i="1" s="1"/>
  <c r="JN22" i="1" s="1"/>
  <c r="JM22" i="1" s="1"/>
  <c r="JL22" i="1" s="1"/>
  <c r="JK22" i="1" s="1"/>
  <c r="JJ22" i="1" s="1"/>
  <c r="JI22" i="1" s="1"/>
  <c r="JH22" i="1" s="1"/>
  <c r="JG22" i="1" s="1"/>
  <c r="JF22" i="1" s="1"/>
  <c r="JE22" i="1" s="1"/>
  <c r="JD22" i="1" s="1"/>
  <c r="JC22" i="1" s="1"/>
  <c r="JB22" i="1" s="1"/>
  <c r="JA22" i="1" s="1"/>
  <c r="IZ22" i="1" s="1"/>
  <c r="IY22" i="1" s="1"/>
  <c r="IX22" i="1" s="1"/>
  <c r="IW22" i="1" s="1"/>
  <c r="IV22" i="1" s="1"/>
  <c r="IU22" i="1" s="1"/>
  <c r="IT22" i="1" s="1"/>
  <c r="IS22" i="1" s="1"/>
  <c r="IR22" i="1" s="1"/>
  <c r="IQ22" i="1" s="1"/>
  <c r="IP22" i="1" s="1"/>
  <c r="IO22" i="1" s="1"/>
  <c r="IN22" i="1" s="1"/>
  <c r="IM22" i="1" s="1"/>
  <c r="IL22" i="1" s="1"/>
  <c r="IK22" i="1" s="1"/>
  <c r="IJ22" i="1" s="1"/>
  <c r="II22" i="1" s="1"/>
  <c r="IH22" i="1" s="1"/>
  <c r="IG22" i="1" s="1"/>
  <c r="IF22" i="1" s="1"/>
  <c r="IE22" i="1" s="1"/>
  <c r="ID22" i="1" s="1"/>
  <c r="IC22" i="1" s="1"/>
  <c r="IB22" i="1" s="1"/>
  <c r="IA22" i="1" s="1"/>
  <c r="HZ22" i="1" s="1"/>
  <c r="HY22" i="1" s="1"/>
  <c r="HX22" i="1" s="1"/>
  <c r="HW22" i="1" s="1"/>
  <c r="HV22" i="1" s="1"/>
  <c r="HU22" i="1" s="1"/>
  <c r="HT22" i="1" s="1"/>
  <c r="HS22" i="1" s="1"/>
  <c r="HR22" i="1" s="1"/>
  <c r="HQ22" i="1" s="1"/>
  <c r="HP22" i="1" s="1"/>
  <c r="HO22" i="1" s="1"/>
  <c r="HN22" i="1" s="1"/>
  <c r="HM22" i="1" s="1"/>
  <c r="HL22" i="1" s="1"/>
  <c r="HK22" i="1" s="1"/>
  <c r="HJ22" i="1" s="1"/>
  <c r="HI22" i="1" s="1"/>
  <c r="HH22" i="1" s="1"/>
  <c r="HG22" i="1" s="1"/>
  <c r="HF22" i="1" s="1"/>
  <c r="HE22" i="1" s="1"/>
  <c r="HD22" i="1" s="1"/>
  <c r="HC22" i="1" s="1"/>
  <c r="HB22" i="1" s="1"/>
  <c r="HA22" i="1" s="1"/>
  <c r="GZ22" i="1" s="1"/>
  <c r="GY22" i="1" s="1"/>
  <c r="GX22" i="1" s="1"/>
  <c r="GW22" i="1" s="1"/>
  <c r="GV22" i="1" s="1"/>
  <c r="GU22" i="1" s="1"/>
  <c r="GT22" i="1" s="1"/>
  <c r="GS22" i="1" s="1"/>
  <c r="GR22" i="1" s="1"/>
  <c r="GQ22" i="1" s="1"/>
  <c r="GP22" i="1" s="1"/>
  <c r="GO22" i="1" s="1"/>
  <c r="GN22" i="1" s="1"/>
  <c r="GM22" i="1" s="1"/>
  <c r="GL22" i="1" s="1"/>
  <c r="GK22" i="1" s="1"/>
  <c r="GJ22" i="1" s="1"/>
  <c r="GI22" i="1" s="1"/>
  <c r="GH22" i="1" s="1"/>
  <c r="GG22" i="1" s="1"/>
  <c r="GF22" i="1" s="1"/>
  <c r="GE22" i="1" s="1"/>
  <c r="GD22" i="1" s="1"/>
  <c r="GC22" i="1" s="1"/>
  <c r="GB22" i="1" s="1"/>
  <c r="GA22" i="1" s="1"/>
  <c r="FZ22" i="1" s="1"/>
  <c r="FY22" i="1" s="1"/>
  <c r="FX22" i="1" s="1"/>
  <c r="FW22" i="1" s="1"/>
  <c r="FV22" i="1" s="1"/>
  <c r="FU22" i="1" s="1"/>
  <c r="FT22" i="1" s="1"/>
  <c r="FS22" i="1" s="1"/>
  <c r="FR22" i="1" s="1"/>
  <c r="FQ22" i="1" s="1"/>
  <c r="FP22" i="1" s="1"/>
  <c r="FO22" i="1" s="1"/>
  <c r="FN22" i="1" s="1"/>
  <c r="FM22" i="1" s="1"/>
  <c r="FL22" i="1" s="1"/>
  <c r="FK22" i="1" s="1"/>
  <c r="FJ22" i="1" s="1"/>
  <c r="FI22" i="1" s="1"/>
  <c r="FH22" i="1" s="1"/>
  <c r="FG22" i="1" s="1"/>
  <c r="FF22" i="1" s="1"/>
  <c r="FE22" i="1" s="1"/>
  <c r="FD22" i="1" s="1"/>
  <c r="FC22" i="1" s="1"/>
  <c r="FB22" i="1" s="1"/>
  <c r="FA22" i="1" s="1"/>
  <c r="EZ22" i="1" s="1"/>
  <c r="EY22" i="1" s="1"/>
  <c r="EX22" i="1" s="1"/>
  <c r="EW22" i="1" s="1"/>
  <c r="EV22" i="1" s="1"/>
  <c r="EU22" i="1" s="1"/>
  <c r="ET22" i="1" s="1"/>
  <c r="ES22" i="1" s="1"/>
  <c r="ER22" i="1" s="1"/>
  <c r="EQ22" i="1" s="1"/>
  <c r="EP22" i="1" s="1"/>
  <c r="EO22" i="1" s="1"/>
  <c r="EN22" i="1" s="1"/>
  <c r="EM22" i="1" s="1"/>
  <c r="EL22" i="1" s="1"/>
  <c r="EK22" i="1" s="1"/>
  <c r="EJ22" i="1" s="1"/>
  <c r="EI22" i="1" s="1"/>
  <c r="EH22" i="1" s="1"/>
  <c r="EG22" i="1" s="1"/>
  <c r="EF22" i="1" s="1"/>
  <c r="EE22" i="1" s="1"/>
  <c r="ED22" i="1" s="1"/>
  <c r="EC22" i="1" s="1"/>
  <c r="EB22" i="1" s="1"/>
  <c r="EA22" i="1" s="1"/>
  <c r="DZ22" i="1" s="1"/>
  <c r="DY22" i="1" s="1"/>
  <c r="DX22" i="1" s="1"/>
  <c r="DW22" i="1" s="1"/>
  <c r="DV22" i="1" s="1"/>
  <c r="DU22" i="1" s="1"/>
  <c r="DT22" i="1" s="1"/>
  <c r="DS22" i="1" s="1"/>
  <c r="DR22" i="1" s="1"/>
  <c r="DQ22" i="1" s="1"/>
  <c r="DP22" i="1" s="1"/>
  <c r="DO22" i="1" s="1"/>
  <c r="DN22" i="1" s="1"/>
  <c r="DM22" i="1" s="1"/>
  <c r="DL22" i="1" s="1"/>
  <c r="DK22" i="1" s="1"/>
  <c r="DJ22" i="1" s="1"/>
  <c r="DI22" i="1" s="1"/>
  <c r="DH22" i="1" s="1"/>
  <c r="DG22" i="1" s="1"/>
  <c r="DF22" i="1" s="1"/>
  <c r="DE22" i="1" s="1"/>
  <c r="DD22" i="1" s="1"/>
  <c r="DC22" i="1" s="1"/>
  <c r="DB22" i="1" s="1"/>
  <c r="DA22" i="1" s="1"/>
  <c r="CZ22" i="1" s="1"/>
  <c r="CY22" i="1" s="1"/>
  <c r="CX22" i="1" s="1"/>
  <c r="CW22" i="1" s="1"/>
  <c r="CV22" i="1" s="1"/>
  <c r="CU22" i="1" s="1"/>
  <c r="CT22" i="1" s="1"/>
  <c r="CS22" i="1" s="1"/>
  <c r="CR22" i="1" s="1"/>
  <c r="CQ22" i="1" s="1"/>
  <c r="CP22" i="1" s="1"/>
  <c r="CO22" i="1" s="1"/>
  <c r="CN22" i="1" s="1"/>
  <c r="CM22" i="1" s="1"/>
  <c r="CL22" i="1" s="1"/>
  <c r="CK22" i="1" s="1"/>
  <c r="CJ22" i="1" s="1"/>
  <c r="CI22" i="1" s="1"/>
  <c r="CH22" i="1" s="1"/>
  <c r="CG22" i="1" s="1"/>
  <c r="CF22" i="1" s="1"/>
  <c r="CE22" i="1" s="1"/>
  <c r="CD22" i="1" s="1"/>
  <c r="CC22" i="1" s="1"/>
  <c r="CB22" i="1" s="1"/>
  <c r="CA22" i="1" s="1"/>
  <c r="BZ22" i="1" s="1"/>
  <c r="BY22" i="1" s="1"/>
  <c r="BX22" i="1" s="1"/>
  <c r="BW22" i="1" s="1"/>
  <c r="BV22" i="1" s="1"/>
  <c r="BU22" i="1" s="1"/>
  <c r="BT22" i="1" s="1"/>
  <c r="BS22" i="1" s="1"/>
  <c r="BR22" i="1" s="1"/>
  <c r="BQ22" i="1" s="1"/>
  <c r="BP22" i="1" s="1"/>
  <c r="BO22" i="1" s="1"/>
  <c r="BN22" i="1" s="1"/>
  <c r="BM22" i="1" s="1"/>
  <c r="BL22" i="1" s="1"/>
  <c r="BK22" i="1" s="1"/>
  <c r="BJ22" i="1" s="1"/>
  <c r="BI22" i="1" s="1"/>
  <c r="BH22" i="1" s="1"/>
  <c r="BG22" i="1" s="1"/>
  <c r="BF22" i="1" s="1"/>
  <c r="BE22" i="1" s="1"/>
  <c r="BD22" i="1" s="1"/>
  <c r="BC22" i="1" s="1"/>
  <c r="BB22" i="1" s="1"/>
  <c r="BA22" i="1" s="1"/>
  <c r="AZ22" i="1" s="1"/>
  <c r="AY22" i="1" s="1"/>
  <c r="AX22" i="1" s="1"/>
  <c r="AW22" i="1" s="1"/>
  <c r="AV22" i="1" s="1"/>
  <c r="AU22" i="1" s="1"/>
  <c r="AT22" i="1" s="1"/>
  <c r="AS22" i="1" s="1"/>
  <c r="AR22" i="1" s="1"/>
  <c r="AQ22" i="1" s="1"/>
  <c r="AP22" i="1" s="1"/>
  <c r="AO22" i="1" s="1"/>
  <c r="AN22" i="1" s="1"/>
  <c r="AM22" i="1" s="1"/>
  <c r="AL22" i="1" s="1"/>
  <c r="AK22" i="1" s="1"/>
  <c r="AJ22" i="1" s="1"/>
  <c r="AI22" i="1" s="1"/>
  <c r="AH22" i="1" s="1"/>
  <c r="AG22" i="1" s="1"/>
  <c r="AF22" i="1" s="1"/>
  <c r="AE22" i="1" s="1"/>
  <c r="AD22" i="1" s="1"/>
  <c r="AC22" i="1" s="1"/>
  <c r="AB22" i="1" s="1"/>
  <c r="AA22" i="1" s="1"/>
  <c r="Z22" i="1" s="1"/>
  <c r="Y22" i="1" s="1"/>
  <c r="X22" i="1" s="1"/>
  <c r="W22" i="1" s="1"/>
  <c r="V22" i="1" s="1"/>
  <c r="U22" i="1" s="1"/>
  <c r="T22" i="1" s="1"/>
  <c r="S22" i="1" s="1"/>
  <c r="R22" i="1" s="1"/>
  <c r="Q22" i="1" s="1"/>
  <c r="P22" i="1" s="1"/>
  <c r="O22" i="1" s="1"/>
  <c r="N22" i="1" s="1"/>
  <c r="M22" i="1" s="1"/>
  <c r="L22" i="1" s="1"/>
  <c r="K22" i="1" s="1"/>
  <c r="J22" i="1" s="1"/>
  <c r="I22" i="1" s="1"/>
  <c r="C22" i="1" s="1"/>
  <c r="KF22" i="1"/>
  <c r="KG22" i="1" s="1"/>
  <c r="KH22" i="1" s="1"/>
  <c r="KI22" i="1" s="1"/>
  <c r="KJ22" i="1" s="1"/>
  <c r="KK22" i="1" s="1"/>
  <c r="KL22" i="1" s="1"/>
  <c r="KM22" i="1" s="1"/>
  <c r="KN22" i="1" s="1"/>
  <c r="KO22" i="1" s="1"/>
  <c r="KP22" i="1" s="1"/>
  <c r="KQ22" i="1" s="1"/>
  <c r="KR22" i="1" s="1"/>
  <c r="KS22" i="1" s="1"/>
  <c r="KT22" i="1" s="1"/>
  <c r="KU22" i="1" s="1"/>
  <c r="KV22" i="1" s="1"/>
  <c r="KW22" i="1" s="1"/>
  <c r="KX22" i="1" s="1"/>
  <c r="KY22" i="1" s="1"/>
  <c r="KZ22" i="1" s="1"/>
  <c r="LA22" i="1" s="1"/>
  <c r="LB22" i="1" s="1"/>
  <c r="LC22" i="1" s="1"/>
  <c r="LD22" i="1" s="1"/>
  <c r="LE22" i="1" s="1"/>
  <c r="LF22" i="1" s="1"/>
  <c r="LG22" i="1" s="1"/>
  <c r="LH22" i="1" s="1"/>
  <c r="LI22" i="1" s="1"/>
  <c r="LJ22" i="1" s="1"/>
  <c r="LK22" i="1" s="1"/>
  <c r="LL22" i="1" s="1"/>
  <c r="LM22" i="1" s="1"/>
  <c r="LN22" i="1" s="1"/>
  <c r="LO22" i="1" s="1"/>
  <c r="LP22" i="1" s="1"/>
  <c r="LQ22" i="1" s="1"/>
  <c r="LR22" i="1" s="1"/>
</calcChain>
</file>

<file path=xl/sharedStrings.xml><?xml version="1.0" encoding="utf-8"?>
<sst xmlns="http://schemas.openxmlformats.org/spreadsheetml/2006/main" count="368" uniqueCount="37">
  <si>
    <t>IPC y analíticos, IPC sin volátiles e IPC volátiles, base 2023=100, variación mensual, información empalmada (BCCh)</t>
  </si>
  <si>
    <t/>
  </si>
  <si>
    <t>Reg</t>
  </si>
  <si>
    <t>Descripción series</t>
  </si>
  <si>
    <t>2.1.</t>
  </si>
  <si>
    <t>      Sin volátiles</t>
  </si>
  <si>
    <t>Nombre y/o definición</t>
  </si>
  <si>
    <t>Unidad</t>
  </si>
  <si>
    <t>Porcentaje</t>
  </si>
  <si>
    <t>Frecuencia</t>
  </si>
  <si>
    <t>MENSUAL</t>
  </si>
  <si>
    <t>Fuente</t>
  </si>
  <si>
    <t>Banco Central de Chile#</t>
  </si>
  <si>
    <t>Desfase publicación</t>
  </si>
  <si>
    <t>8 días terminado el mes</t>
  </si>
  <si>
    <t>Última actualización</t>
  </si>
  <si>
    <t>08-05-2026</t>
  </si>
  <si>
    <t>Primera observación</t>
  </si>
  <si>
    <t>01-01-1999</t>
  </si>
  <si>
    <t>Última observación</t>
  </si>
  <si>
    <t>01-04-2026</t>
  </si>
  <si>
    <t>Contacto</t>
  </si>
  <si>
    <t>contactocentral.bcentral.cl
https://contactocentral.bcentral.cl/</t>
  </si>
  <si>
    <t>Metodología</t>
  </si>
  <si>
    <t>Enlace a blog
 https://www.bcentral.cl/contenido/-/detalle/evolucion-de-la-inflacion-segun-la-nueva-canasta-del-ipc</t>
  </si>
  <si>
    <t>Notas</t>
  </si>
  <si>
    <t>El IPC General (empalme BCCh) utiliza la información proveniente de las series referenciales de cada canasta IPC publicada por el INE. En concreto, para el período comprendido entre enero 1999 y diciembre 2008 se utilizan las variaciones mensuales de la canasta IPC con base diciembre 1998=100. En el mes de enero 2009 se utiliza la variación mensual de la canasta IPC con base diciembre 2008=100. Para el período comprendido entre febrero 2009 y enero 2013 se utilizan las variaciones mensuales de la canasta IPC con base anual 2009=100. Para el periodo comprendido entre febrero 2013 y enero 2018 se utilizan las variaciones mensuales de la canasta IPC con base anual 2013=100. Para el periodo comprendido entre febrero 2018 y enero 2023 se utilizan las variaciones mensuales de la canasta IPC con base anual 2018=100. Finalmente, para el período comprendido entre febrero 2023 a la fecha, se utilizan las variaciones mensuales de la canasta IPC con base anual 2023=100.
Así, las variaciones mensuales (y consecuentemente anuales) de este índice no coinciden con las variaciones mensuales oficiales – útiles para fines de reajustabilidad – ya que estas utilizan, para los cambios de año base, las series de la canasta previa. Además, las variaciones del INE se calculan considerando 12 decimales a nivel de producto; información que no es pública.
Para el cálculo de las variaciones mensuales correspondientes al IPC sin volátiles, IPC Servicios sin volátiles, IPC Bienes sin volátiles, IPC volátil, IPC Alimentos volátiles, IPC Energía volátiles e IPC Resto de volátiles, se agrupan las subclases que pertenecen a cada categoría vía la media aritmética ponderada de sus variaciones mensuales. El ponderador corresponde al ponderador implícito de cada subclase (tiene en cuenta el ponderador fijo de cada canasta y la evolución del índice relativo de la subclase respecto al IPC total). Para la clasificación entre subclases volátiles y no volátiles se tuvo en cuenta la clasificación actualizada por el Banco Central de Chile para la canasta base 2023=100. Para más detalles, ver Blog publicado en la página del Banco Central el día 6 de marzo de 2024.
Para el período entre enero de 2023 a la fecha, se utilizó la clasificación de subclases presentadas por el INE para la canasta 2023. Para los periodos anteriores, el Banco Central de Chile replicó esta clasificación de subclases de manera interna, asignando los productos de cada canasta en su correspondiente subclase. Los productos que no pudieron ser clasificados dentro de las 172 subclases se agruparon en una subclase denominada “Resto”, la cual representa menos del 1% del IPC General de cada canasta (y 0% en la canasta base 2023=100), y forma parte del IPC Volátil (subagrupación resto) para los años anteriores a 2023. El documento metodológico que respalda esta clasificación será publicado durante 2024. A su vez, en los próximos meses se publicarán estas series desde 1989, una vez se reclasifiquen los productos de las canastas anteriores a 1998. Al igual que para el IPC General (empalme BCCh), su empalme considera las variaciones mensuales de las series referenciales de cada subclase.
Series referencial y oficial empalmada (extracto del blog):
Como es habitual, el primer IPC bajo la nueva canasta –correspondiente a enero de 2024– estuvo acompañado de la publicación de una serie referencial para el año 2023 y una empalmada con las canastas 2009, 2013 y 2018. A partir de la serie referencial uno puede calcular variaciones mensuales de precios para 2023, las que no necesariamente coinciden con los datos oficiales publicados durante el año pasado. Así, durante 2023 y 2024 es posible obtener dos medidas distintas de variación de precios anual: 
La medición oficial de la inflación, que se utiliza para fines de reajustabilidad de todos los contratos, obligaciones o valores que se encuentren indexados a la variación del IPC, corresponde a la serie empalmada publicada por el INE, que para 2023 corresponde a las cifras de inflación mensual divulgadas durante el año pasado y medidas con la canasta 2018 = 100. Con esta serie, la inflación anual a enero 2024 fue de 3,8% (gráfico 1).
A su vez, uno podría considerar para 2023 la información proveniente de la serie referencial. Esta serie no constituye una medición oficial del IPC, pero sirve para el análisis económico y el entendimiento del comportamiento reciente de los precios bajo la metodología y ponderaciones actualizadas. Así, como en cambios de canastas anteriores, el Banco Central utilizará la serie referencial para el análisis macroeconómico de la inflación. Al utilizar esta serie, la inflación anual a enero 2024 fue de 3,2%.
Definiciones
1.- IPC sin volátiles: Es una medida de exclusión fija, elaborada por el Banco Central de Chile y que excluye las subclases más volátiles en base a una función de pérdida que considera: volatilidad, persistencia, relación con la brecha producto, sesgo y poder predictivo. Posee 83 subclases del IPC General, representando en la última canasta el 62,1% del IPC General base anual 2023=100. A contar de febrero 2024 en adelante, las cifras corresponden a valores calculados por el Instituto Nacional de Estadísticas (INE) en base a la clasificación realizada por el Banco Central de Chile en 2024.
En detalle reúne las siguientes subclases: Pan y productos de panadería; Bebidas vegetales; Yogures y productos similares; Frutas preservadas; Azúcar; Chocolates; Helados; Platos preparados adquiridos en tiendas y supermercados; Aderezos, salsas de tomate y sal; Otros productos alimenticios; Jugos; Té; Bebidas gaseosas; Otras bebidas no alcohólicas; Destilados; Cervezas; Vestuario para hombres; Vestuario escolar; Servicios de limpieza y reparación de vestuario; Arriendo; Materiales para el mantenimiento de la vivienda; Servicios para el mantenimiento de la vivienda; Suministro de agua; Servicio de retiro de basura; Otros combustibles de uso doméstico; Muebles para el hogar; Reparación de muebles; Línea blanca; Artículos para calefacción del hogar y calefón; Aspiradoras; Otros artefactos grandes para el hogar; Electrodomésticos pequeños de cocina; Reparación de artefactos para el hogar; Vajilla; Utensilios de cocina; Herramientas manuales y accesorios; Pequeños accesorios eléctricos; Productos de limpieza para el hogar; Otros bienes no durables para el hogar; Servicio doméstico; Medicamentos; Lentes ópticos; Productos de asistencia para la audición y la comunicación; Artículos ortopédicos; Servicios dentales; Servicios médicos; Servicios de hospitalización; Exámenes de imagenología y radiología; Exámenes de laboratorio clínico; Automóviles nuevos; Automóviles usados; Motocicletas; Mantenimiento y reparación de vehículos personales; Servicios de estacionamiento; Servicios de peaje;
Servicios vinculados a la circulación del vehículo; Transporte escolar; Computadores; Servicios de telefonía móvil; Conexión a internet; Pack de telecomunicaciones; Suscripción a contenidos audiovisuales; Juguetes; Artículos para celebraciones; Productos para mascotas; Servicios para mascotas; Servicios prestados por centros recreativos; Servicios asociados a la práctica deportiva; Textos educativos; Libros; Diarios; Artículos de escritorio y artes manuales; Enseñanza pre-escolar y enseñanza básica; Enseñanza media; Enseñanza superior; Restaurantes, cafés y similares; Artículos para el cuidado personal; Artículos cosméticos; Servicios de peluquería; Servicios en centros de estética; Joyas y relojes; Residencias para adultos mayores; Otros servicios.
2.- IPC Servicios sin volátiles: Es un subcomponente del IPC sin volátiles que considera 33 subclases del IPC General, representando el 35,1% del IPC General canasta 2023. En detalle reúne las siguientes subclases: Servicios de limpieza y reparación de vestuario; Arriendo; Servicios para el mantenimiento de la vivienda; Suministro de agua; Servicio de retiro de basura; Reparación de muebles; Reparación de artefactos para el hogar; Servicio doméstico; Servicios dentales; Servicios médicos; Servicios de hospitalización; Exámenes de imagenología y radiología; Exámenes de laboratorio clínico; Mantenimiento y reparación de vehículos personales; Servicios de estacionamiento; Servicios de peaje; Servicios vinculados a la circulación del vehículo; Transporte escolar; Servicios de telefonía móvil; Conexión a internet; Pack de telecomunicaciones; Suscripción a contenidos audiovisuales; Servicios para mascotas; Servicios prestados por centros recreativos; Servicios asociados a la práctica deportiva; Enseñanza pre-escolar y enseñanza básica; Enseñanza media; Enseñanza superior; Restaurantes, cafés y similares; Servicios de peluquería; Servicios en centros de estética; Residencias para adultos mayores; Otros servicios.
3.- IPC Bienes sin volátiles: Es un subcomponente del IPC sin volátiles que considera 50 subclases del IPC General, representando el 27,0% del IPC General canasta 2023. En detalle incluye las siguientes subclases: Pan y productos de panadería; Bebidas vegetales; Yogures y productos similares; Frutas preservadas; Azúcar; Chocolates; Helados; Platos preparados adquiridos en tiendas y supermercados; Aderezos, salsas de tomate y sal; Otros productos alimenticios; Jugos; Té; Bebidas gaseosas; Otras bebidas no alcohólicas; Destilados; Cervezas; Vestuario para hombres; Vestuario escolar; Materiales para el mantenimiento de la vivienda; Otros combustibles de uso doméstico; Muebles para el hogar; Línea blanca; Artículos para calefacción del hogar y calefón; Aspiradoras; Otros artefactos grandes para el hogar; Electrodomésticos pequeños de cocina; Vajilla; Utensilios de cocina; Herramientas manuales y accesorios; Pequeños accesorios eléctricos; Productos de limpieza para el hogar; Otros bienes no durables para el hogar; Medicamentos; Lentes ópticos; Productos de asistencia para la audición y la comunicación; Artículos ortopédicos; Automóviles nuevos; Automóviles usados; Motocicletas; Computadores; Juguetes; Artículos para celebraciones; Productos para mascotas; Textos educativos; Libros; Diarios; Artículos de escritorio y artes manuales; Artículos para el cuidado personal; Artículos cosméticos; Joyas y relojes.
4.- IPC volátil: Es una medida calculada en base a las subclases del IPC General que no son consideradas en la medición del IPC sin volátiles. Posee 89 de las 172 subclases del IPC General, representando el 37,9% del IPC General canasta 2023. En detalle incluye las siguientes subclases: Arroz; Harina de cereales; Cereales para el desayuno; Pastas; Snacks; Carne fresca, refrigerada o congelada; Carnes procesadas; Pescados frescos o refrigerados; Pescados en conserva; Mariscos frescos o refrigerados; Mariscos en conserva; Leche líquida; Otras leches y cremas; Quesos; Postres lácteos; Huevos; Aceites vegetales; Mantequilla; Margarina; Frutas frescas; Frutos secos; Hortalizas y leguminosas; Papas; Legumbres secas; Verduras congeladas; Otras preparaciones de vegetales; Endulzantes; Mermeladas y postres no lácteos; Caramelos y gomas de mascar; Alimentos para bebé; Aliños;
Café y sucedáneos; Agua embotellada; Vinos; Cócteles y licores; Cigarrillos; Vestuario para mujeres; Vestuario infantil; Vestuario para lactantes; Accesorios de vestir; Calzado para hombres; Calzado para mujeres; Calzado infantil; Gastos comunes; Suministro de electricidad; Gas por red; Gas licuado; Parafina; Muebles para jardín y exteriores; Artículos ornamentales; Textiles para living y comedor; Textiles para cama; Textiles para baño y cocina; Lavadoras; Herramientas eléctricas y accesorios; Productos homeopáticos; Productos médicos; Bicicletas; Neumáticos; Repuestos para el automóvil; Accesorios para vehículos personales; Petróleo diésel; Gasolina; Transporte colectivo de pasajeros; Transporte privado de pasajeros; Transporte aéreo nacional; Transporte aéreo internacional; Transporte combinado de pasajeros; Envío de bienes y paquetería; Equipos de telefonía móvil; Equipos audiovisuales; Dispositivos y accesorios tecnológicos; Equipos de juegos para recreación; Consolas y videojuegos; Equipos e implementos deportivos; Artículos de camping y recreación; Jardinería y floristería; Entradas a espectáculos deportivos; Juegos de azar; Instrumentos musicales; Entradas a espectáculos culturales; Paquetes turísticos; Pre universitarios; Cursos de capacitación; Servicios de alojamiento; Seguros; Gastos financieros; Aparatos no eléctricos para el cuidado personal; Otros artículos personales.
5.- IPC Alimentos volátiles: Es un subcomponente del IPC volátil que considera 33 subclases del IPC General, representando el 14,6% del IPC General canasta 2023. En detalle incluye las siguientes subclases: Arroz; Harina de cereales; Cereales para el desayuno; Pastas; Snacks; Carne fresca, refrigerada o congelada; Carnes procesadas; Pescados frescos o refrigerados; Pescados en conserva; Mariscos frescos o refrigerados; Mariscos en conserva; Leche líquida; Otras leches y cremas; Quesos; Postres lácteos; Huevos; Aceites vegetales; Mantequilla; Margarina; Frutas frescas; Frutos secos; Hortalizas y leguminosas; Papas; Legumbres secas; Verduras congeladas; Otras preparaciones de vegetales; Endulzantes; Mermeladas y postres no lácteos; Caramelos y gomas de mascar; Alimentos para bebé; Aliños; Café y sucedáneos; Agua embotellada.
6.- IPC Energía volátiles: Es un subcomponente del IPC volátil que considera 6 subclases del IPC General, representando el 8,3% del IPC General canasta 2023. En detalle incluye las siguientes subclases: Suministro de electricidad; Gas por red; Gas licuado; Parafina; Petróleo diésel; Gasolina.
7.- IPC Resto de volátiles: Es un subcomponente del IPC volátil que considera 50 subclases del IPC General, representando el 15,0% del IPC General canasta 2023. En detalle incluye las siguientes subclases: Vinos; Cócteles y licores; Cigarrillos; Vestuario para mujeres; Vestuario infantil; Vestuario para lactantes; Accesorios de vestir; Calzado para hombres; Calzado para mujeres; Calzado infantil; Gastos comunes; Muebles para jardín y exteriores; Artículos ornamentales; Textiles para living y comedor; Textiles para cama; Textiles para baño y cocina; Lavadoras; Herramientas eléctricas y accesorios; Productos homeopáticos; Productos médicos; Bicicletas; Neumáticos; Repuestos para el automóvil; Accesorios para vehículos personales; Transporte colectivo de pasajeros; Transporte privado de pasajeros; Transporte aéreo nacional; Transporte aéreo internacional; Transporte combinado de pasajeros; Envío de bienes y paquetería; Equipos de telefonía móvil; Equipos audiovisuales; Dispositivos y accesorios tecnológicos; Equipos de juegos para recreación; Consolas y videojuegos; Equipos e implementos deportivos; Artículos de camping y recreación; Jardinería y floristería; Entradas a espectáculos deportivos; Juegos de azar; Instrumentos musicales; Entradas a espectáculos culturales; Paquetes turísticos; Pre universitarios; Cursos de capacitación; Servicios de alojamiento; Seguros; Gastos financieros; Aparatos no eléctricos para el cuidado personal; Otros artículos personales.
Nota: IPC General (empalme BCCh). Las variaciones mensuales y anuales de este índice no coinciden con las variaciones oficiales del INE – útiles para fines de reajustabilidad – ya que estas utilizan para los cambios de año base, las series de la canasta previa. Además, las variaciones del INE se calculan considerando 12 decimales a nivel de producto; información que no es pública. Para mayor información, ver las notas en "i".</t>
  </si>
  <si>
    <t>Serie</t>
  </si>
  <si>
    <t>Descripción</t>
  </si>
  <si>
    <t>G073.IPCSV.VAR.2023.M</t>
  </si>
  <si>
    <t>Sin volátiles | IPC Analíticos, variación empalmada BCCh, base 2023 = 100 | Mensual</t>
  </si>
  <si>
    <t>Tasa Base 2023</t>
  </si>
  <si>
    <t>Suma de los IPC</t>
  </si>
  <si>
    <t>IPC Enero</t>
  </si>
  <si>
    <t>Compruebo que el promedio sea 100</t>
  </si>
  <si>
    <t>Promedio</t>
  </si>
  <si>
    <t>Hago de nuevo la tabla pero ahora base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</si>
</sst>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mmm\.yyyy"/>
    <numFmt numFmtId="170" formatCode="#,##0.000"/>
  </numFmts>
  <fonts count="3" x14ac:knownFonts="1">
    <font>
      <sz val="11"/>
      <color rgb="FF000000"/>
      <name val="Calibri"/>
    </font>
    <font>
      <b/>
      <sz val="12"/>
      <color rgb="FF000000"/>
      <name val="Calibri"/>
    </font>
    <font>
      <sz val="11"/>
      <color rgb="FF000000"/>
      <name val="Calibri"/>
    </font>
  </fonts>
  <fills count="3">
    <fill>
      <patternFill patternType="none"/>
    </fill>
    <fill>
      <patternFill patternType="gray125"/>
    </fill>
    <fill>
      <patternFill patternType="solid">
        <fgColor rgb="FFDEEAF6"/>
      </patternFill>
    </fill>
  </fills>
  <borders count="2">
    <border>
      <left/>
      <right/>
      <top/>
      <bottom/>
      <diagonal/>
    </border>
    <border>
      <left style="thin">
        <color auto="1"/>
      </left>
      <right style="thin">
        <color auto="1"/>
      </right>
      <top style="thin">
        <color auto="1"/>
      </top>
      <bottom style="thin">
        <color auto="1"/>
      </bottom>
      <diagonal style="thin">
        <color auto="1"/>
      </diagonal>
    </border>
  </borders>
  <cellStyleXfs count="2">
    <xf numFmtId="0" fontId="0" fillId="0" borderId="0"/>
    <xf numFmtId="9" fontId="2" fillId="0" borderId="0" applyFont="0" applyFill="0" applyBorder="0" applyAlignment="0" applyProtection="0"/>
  </cellStyleXfs>
  <cellXfs count="12">
    <xf numFmtId="0" fontId="0" fillId="0" borderId="0" xfId="0"/>
    <xf numFmtId="4" fontId="0" fillId="0" borderId="1" xfId="0" applyNumberFormat="1" applyBorder="1" applyAlignment="1">
      <alignment horizontal="right" vertical="center"/>
    </xf>
    <xf numFmtId="0" fontId="1" fillId="2" borderId="1" xfId="0" applyFont="1" applyFill="1" applyBorder="1" applyAlignment="1">
      <alignment horizontal="left" vertical="center"/>
    </xf>
    <xf numFmtId="0" fontId="0" fillId="0" borderId="1" xfId="0" applyBorder="1" applyAlignment="1">
      <alignment horizontal="left" vertical="center" wrapText="1"/>
    </xf>
    <xf numFmtId="167" fontId="1" fillId="2" borderId="1" xfId="0" applyNumberFormat="1" applyFont="1"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4" fontId="0" fillId="0" borderId="0" xfId="0" applyNumberFormat="1"/>
    <xf numFmtId="170" fontId="0" fillId="0" borderId="0" xfId="0" applyNumberFormat="1"/>
    <xf numFmtId="9" fontId="0" fillId="0" borderId="0" xfId="1" applyFont="1"/>
    <xf numFmtId="2" fontId="0" fillId="0" borderId="0" xfId="0" applyNumberFormat="1"/>
    <xf numFmtId="17" fontId="0" fillId="0" borderId="0" xfId="0" applyNumberFormat="1"/>
  </cellXfs>
  <cellStyles count="2">
    <cellStyle name="Normal" xfId="0" builtinId="0"/>
    <cellStyle name="Porcentaj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R22"/>
  <sheetViews>
    <sheetView tabSelected="1" topLeftCell="JL1" workbookViewId="0">
      <selection activeCell="JL22" sqref="JL22"/>
    </sheetView>
  </sheetViews>
  <sheetFormatPr baseColWidth="10" defaultRowHeight="14.4" x14ac:dyDescent="0.3"/>
  <cols>
    <col min="1" max="1" width="40" customWidth="1"/>
    <col min="2" max="329" width="20" customWidth="1"/>
  </cols>
  <sheetData>
    <row r="1" spans="1:330" x14ac:dyDescent="0.3">
      <c r="A1" s="6" t="s">
        <v>0</v>
      </c>
      <c r="B1" s="6" t="s">
        <v>1</v>
      </c>
      <c r="C1" s="6" t="s">
        <v>1</v>
      </c>
      <c r="D1" s="6" t="s">
        <v>1</v>
      </c>
      <c r="E1" s="6" t="s">
        <v>1</v>
      </c>
      <c r="F1" s="6" t="s">
        <v>1</v>
      </c>
      <c r="G1" s="6" t="s">
        <v>1</v>
      </c>
      <c r="H1" s="6" t="s">
        <v>1</v>
      </c>
      <c r="I1" s="6" t="s">
        <v>1</v>
      </c>
      <c r="J1" s="6" t="s">
        <v>1</v>
      </c>
      <c r="K1" s="6" t="s">
        <v>1</v>
      </c>
      <c r="L1" s="6" t="s">
        <v>1</v>
      </c>
      <c r="M1" s="6" t="s">
        <v>1</v>
      </c>
      <c r="N1" s="6" t="s">
        <v>1</v>
      </c>
      <c r="O1" s="6" t="s">
        <v>1</v>
      </c>
      <c r="P1" s="6" t="s">
        <v>1</v>
      </c>
      <c r="Q1" s="6" t="s">
        <v>1</v>
      </c>
      <c r="R1" s="6" t="s">
        <v>1</v>
      </c>
      <c r="S1" s="6" t="s">
        <v>1</v>
      </c>
      <c r="T1" s="6" t="s">
        <v>1</v>
      </c>
      <c r="U1" s="6" t="s">
        <v>1</v>
      </c>
      <c r="V1" s="6" t="s">
        <v>1</v>
      </c>
      <c r="W1" s="6" t="s">
        <v>1</v>
      </c>
      <c r="X1" s="6" t="s">
        <v>1</v>
      </c>
      <c r="Y1" s="6" t="s">
        <v>1</v>
      </c>
      <c r="Z1" s="6" t="s">
        <v>1</v>
      </c>
      <c r="AA1" s="6" t="s">
        <v>1</v>
      </c>
      <c r="AB1" s="6" t="s">
        <v>1</v>
      </c>
      <c r="AC1" s="6" t="s">
        <v>1</v>
      </c>
      <c r="AD1" s="6" t="s">
        <v>1</v>
      </c>
      <c r="AE1" s="6" t="s">
        <v>1</v>
      </c>
      <c r="AF1" s="6" t="s">
        <v>1</v>
      </c>
      <c r="AG1" s="6" t="s">
        <v>1</v>
      </c>
      <c r="AH1" s="6" t="s">
        <v>1</v>
      </c>
      <c r="AI1" s="6" t="s">
        <v>1</v>
      </c>
      <c r="AJ1" s="6" t="s">
        <v>1</v>
      </c>
      <c r="AK1" s="6" t="s">
        <v>1</v>
      </c>
      <c r="AL1" s="6" t="s">
        <v>1</v>
      </c>
      <c r="AM1" s="6" t="s">
        <v>1</v>
      </c>
      <c r="AN1" s="6" t="s">
        <v>1</v>
      </c>
      <c r="AO1" s="6" t="s">
        <v>1</v>
      </c>
      <c r="AP1" s="6" t="s">
        <v>1</v>
      </c>
      <c r="AQ1" s="6" t="s">
        <v>1</v>
      </c>
      <c r="AR1" s="6" t="s">
        <v>1</v>
      </c>
      <c r="AS1" s="6" t="s">
        <v>1</v>
      </c>
      <c r="AT1" s="6" t="s">
        <v>1</v>
      </c>
      <c r="AU1" s="6" t="s">
        <v>1</v>
      </c>
      <c r="AV1" s="6" t="s">
        <v>1</v>
      </c>
      <c r="AW1" s="6" t="s">
        <v>1</v>
      </c>
      <c r="AX1" s="6" t="s">
        <v>1</v>
      </c>
      <c r="AY1" s="6" t="s">
        <v>1</v>
      </c>
      <c r="AZ1" s="6" t="s">
        <v>1</v>
      </c>
      <c r="BA1" s="6" t="s">
        <v>1</v>
      </c>
      <c r="BB1" s="6" t="s">
        <v>1</v>
      </c>
      <c r="BC1" s="6" t="s">
        <v>1</v>
      </c>
      <c r="BD1" s="6" t="s">
        <v>1</v>
      </c>
      <c r="BE1" s="6" t="s">
        <v>1</v>
      </c>
      <c r="BF1" s="6" t="s">
        <v>1</v>
      </c>
      <c r="BG1" s="6" t="s">
        <v>1</v>
      </c>
      <c r="BH1" s="6" t="s">
        <v>1</v>
      </c>
      <c r="BI1" s="6" t="s">
        <v>1</v>
      </c>
      <c r="BJ1" s="6" t="s">
        <v>1</v>
      </c>
      <c r="BK1" s="6" t="s">
        <v>1</v>
      </c>
      <c r="BL1" s="6" t="s">
        <v>1</v>
      </c>
      <c r="BM1" s="6" t="s">
        <v>1</v>
      </c>
      <c r="BN1" s="6" t="s">
        <v>1</v>
      </c>
      <c r="BO1" s="6" t="s">
        <v>1</v>
      </c>
      <c r="BP1" s="6" t="s">
        <v>1</v>
      </c>
      <c r="BQ1" s="6" t="s">
        <v>1</v>
      </c>
      <c r="BR1" s="6" t="s">
        <v>1</v>
      </c>
      <c r="BS1" s="6" t="s">
        <v>1</v>
      </c>
      <c r="BT1" s="6" t="s">
        <v>1</v>
      </c>
      <c r="BU1" s="6" t="s">
        <v>1</v>
      </c>
      <c r="BV1" s="6" t="s">
        <v>1</v>
      </c>
      <c r="BW1" s="6" t="s">
        <v>1</v>
      </c>
      <c r="BX1" s="6" t="s">
        <v>1</v>
      </c>
      <c r="BY1" s="6" t="s">
        <v>1</v>
      </c>
      <c r="BZ1" s="6" t="s">
        <v>1</v>
      </c>
      <c r="CA1" s="6" t="s">
        <v>1</v>
      </c>
      <c r="CB1" s="6" t="s">
        <v>1</v>
      </c>
      <c r="CC1" s="6" t="s">
        <v>1</v>
      </c>
      <c r="CD1" s="6" t="s">
        <v>1</v>
      </c>
      <c r="CE1" s="6" t="s">
        <v>1</v>
      </c>
      <c r="CF1" s="6" t="s">
        <v>1</v>
      </c>
      <c r="CG1" s="6" t="s">
        <v>1</v>
      </c>
      <c r="CH1" s="6" t="s">
        <v>1</v>
      </c>
      <c r="CI1" s="6" t="s">
        <v>1</v>
      </c>
      <c r="CJ1" s="6" t="s">
        <v>1</v>
      </c>
      <c r="CK1" s="6" t="s">
        <v>1</v>
      </c>
      <c r="CL1" s="6" t="s">
        <v>1</v>
      </c>
      <c r="CM1" s="6" t="s">
        <v>1</v>
      </c>
      <c r="CN1" s="6" t="s">
        <v>1</v>
      </c>
      <c r="CO1" s="6" t="s">
        <v>1</v>
      </c>
      <c r="CP1" s="6" t="s">
        <v>1</v>
      </c>
      <c r="CQ1" s="6" t="s">
        <v>1</v>
      </c>
      <c r="CR1" s="6" t="s">
        <v>1</v>
      </c>
      <c r="CS1" s="6" t="s">
        <v>1</v>
      </c>
      <c r="CT1" s="6" t="s">
        <v>1</v>
      </c>
      <c r="CU1" s="6" t="s">
        <v>1</v>
      </c>
      <c r="CV1" s="6" t="s">
        <v>1</v>
      </c>
      <c r="CW1" s="6" t="s">
        <v>1</v>
      </c>
      <c r="CX1" s="6" t="s">
        <v>1</v>
      </c>
      <c r="CY1" s="6" t="s">
        <v>1</v>
      </c>
      <c r="CZ1" s="6" t="s">
        <v>1</v>
      </c>
      <c r="DA1" s="6" t="s">
        <v>1</v>
      </c>
      <c r="DB1" s="6" t="s">
        <v>1</v>
      </c>
      <c r="DC1" s="6" t="s">
        <v>1</v>
      </c>
      <c r="DD1" s="6" t="s">
        <v>1</v>
      </c>
      <c r="DE1" s="6" t="s">
        <v>1</v>
      </c>
      <c r="DF1" s="6" t="s">
        <v>1</v>
      </c>
      <c r="DG1" s="6" t="s">
        <v>1</v>
      </c>
      <c r="DH1" s="6" t="s">
        <v>1</v>
      </c>
      <c r="DI1" s="6" t="s">
        <v>1</v>
      </c>
      <c r="DJ1" s="6" t="s">
        <v>1</v>
      </c>
      <c r="DK1" s="6" t="s">
        <v>1</v>
      </c>
      <c r="DL1" s="6" t="s">
        <v>1</v>
      </c>
      <c r="DM1" s="6" t="s">
        <v>1</v>
      </c>
      <c r="DN1" s="6" t="s">
        <v>1</v>
      </c>
      <c r="DO1" s="6" t="s">
        <v>1</v>
      </c>
      <c r="DP1" s="6" t="s">
        <v>1</v>
      </c>
      <c r="DQ1" s="6" t="s">
        <v>1</v>
      </c>
      <c r="DR1" s="6" t="s">
        <v>1</v>
      </c>
      <c r="DS1" s="6" t="s">
        <v>1</v>
      </c>
      <c r="DT1" s="6" t="s">
        <v>1</v>
      </c>
      <c r="DU1" s="6" t="s">
        <v>1</v>
      </c>
      <c r="DV1" s="6" t="s">
        <v>1</v>
      </c>
      <c r="DW1" s="6" t="s">
        <v>1</v>
      </c>
      <c r="DX1" s="6" t="s">
        <v>1</v>
      </c>
      <c r="DY1" s="6" t="s">
        <v>1</v>
      </c>
      <c r="DZ1" s="6" t="s">
        <v>1</v>
      </c>
      <c r="EA1" s="6" t="s">
        <v>1</v>
      </c>
      <c r="EB1" s="6" t="s">
        <v>1</v>
      </c>
      <c r="EC1" s="6" t="s">
        <v>1</v>
      </c>
      <c r="ED1" s="6" t="s">
        <v>1</v>
      </c>
      <c r="EE1" s="6" t="s">
        <v>1</v>
      </c>
      <c r="EF1" s="6" t="s">
        <v>1</v>
      </c>
      <c r="EG1" s="6" t="s">
        <v>1</v>
      </c>
      <c r="EH1" s="6" t="s">
        <v>1</v>
      </c>
      <c r="EI1" s="6" t="s">
        <v>1</v>
      </c>
      <c r="EJ1" s="6" t="s">
        <v>1</v>
      </c>
      <c r="EK1" s="6" t="s">
        <v>1</v>
      </c>
      <c r="EL1" s="6" t="s">
        <v>1</v>
      </c>
      <c r="EM1" s="6" t="s">
        <v>1</v>
      </c>
      <c r="EN1" s="6" t="s">
        <v>1</v>
      </c>
      <c r="EO1" s="6" t="s">
        <v>1</v>
      </c>
      <c r="EP1" s="6" t="s">
        <v>1</v>
      </c>
      <c r="EQ1" s="6" t="s">
        <v>1</v>
      </c>
      <c r="ER1" s="6" t="s">
        <v>1</v>
      </c>
      <c r="ES1" s="6" t="s">
        <v>1</v>
      </c>
      <c r="ET1" s="6" t="s">
        <v>1</v>
      </c>
      <c r="EU1" s="6" t="s">
        <v>1</v>
      </c>
      <c r="EV1" s="6" t="s">
        <v>1</v>
      </c>
      <c r="EW1" s="6" t="s">
        <v>1</v>
      </c>
      <c r="EX1" s="6" t="s">
        <v>1</v>
      </c>
      <c r="EY1" s="6" t="s">
        <v>1</v>
      </c>
      <c r="EZ1" s="6" t="s">
        <v>1</v>
      </c>
      <c r="FA1" s="6" t="s">
        <v>1</v>
      </c>
      <c r="FB1" s="6" t="s">
        <v>1</v>
      </c>
      <c r="FC1" s="6" t="s">
        <v>1</v>
      </c>
      <c r="FD1" s="6" t="s">
        <v>1</v>
      </c>
      <c r="FE1" s="6" t="s">
        <v>1</v>
      </c>
      <c r="FF1" s="6" t="s">
        <v>1</v>
      </c>
      <c r="FG1" s="6" t="s">
        <v>1</v>
      </c>
      <c r="FH1" s="6" t="s">
        <v>1</v>
      </c>
      <c r="FI1" s="6" t="s">
        <v>1</v>
      </c>
      <c r="FJ1" s="6" t="s">
        <v>1</v>
      </c>
      <c r="FK1" s="6" t="s">
        <v>1</v>
      </c>
      <c r="FL1" s="6" t="s">
        <v>1</v>
      </c>
      <c r="FM1" s="6" t="s">
        <v>1</v>
      </c>
      <c r="FN1" s="6" t="s">
        <v>1</v>
      </c>
      <c r="FO1" s="6" t="s">
        <v>1</v>
      </c>
      <c r="FP1" s="6" t="s">
        <v>1</v>
      </c>
      <c r="FQ1" s="6" t="s">
        <v>1</v>
      </c>
      <c r="FR1" s="6" t="s">
        <v>1</v>
      </c>
      <c r="FS1" s="6" t="s">
        <v>1</v>
      </c>
      <c r="FT1" s="6" t="s">
        <v>1</v>
      </c>
      <c r="FU1" s="6" t="s">
        <v>1</v>
      </c>
      <c r="FV1" s="6" t="s">
        <v>1</v>
      </c>
      <c r="FW1" s="6" t="s">
        <v>1</v>
      </c>
      <c r="FX1" s="6" t="s">
        <v>1</v>
      </c>
      <c r="FY1" s="6" t="s">
        <v>1</v>
      </c>
      <c r="FZ1" s="6" t="s">
        <v>1</v>
      </c>
      <c r="GA1" s="6" t="s">
        <v>1</v>
      </c>
      <c r="GB1" s="6" t="s">
        <v>1</v>
      </c>
      <c r="GC1" s="6" t="s">
        <v>1</v>
      </c>
      <c r="GD1" s="6" t="s">
        <v>1</v>
      </c>
      <c r="GE1" s="6" t="s">
        <v>1</v>
      </c>
      <c r="GF1" s="6" t="s">
        <v>1</v>
      </c>
      <c r="GG1" s="6" t="s">
        <v>1</v>
      </c>
      <c r="GH1" s="6" t="s">
        <v>1</v>
      </c>
      <c r="GI1" s="6" t="s">
        <v>1</v>
      </c>
      <c r="GJ1" s="6" t="s">
        <v>1</v>
      </c>
      <c r="GK1" s="6" t="s">
        <v>1</v>
      </c>
      <c r="GL1" s="6" t="s">
        <v>1</v>
      </c>
      <c r="GM1" s="6" t="s">
        <v>1</v>
      </c>
      <c r="GN1" s="6" t="s">
        <v>1</v>
      </c>
      <c r="GO1" s="6" t="s">
        <v>1</v>
      </c>
      <c r="GP1" s="6" t="s">
        <v>1</v>
      </c>
      <c r="GQ1" s="6" t="s">
        <v>1</v>
      </c>
      <c r="GR1" s="6" t="s">
        <v>1</v>
      </c>
      <c r="GS1" s="6" t="s">
        <v>1</v>
      </c>
      <c r="GT1" s="6" t="s">
        <v>1</v>
      </c>
      <c r="GU1" s="6" t="s">
        <v>1</v>
      </c>
      <c r="GV1" s="6" t="s">
        <v>1</v>
      </c>
      <c r="GW1" s="6" t="s">
        <v>1</v>
      </c>
      <c r="GX1" s="6" t="s">
        <v>1</v>
      </c>
      <c r="GY1" s="6" t="s">
        <v>1</v>
      </c>
      <c r="GZ1" s="6" t="s">
        <v>1</v>
      </c>
      <c r="HA1" s="6" t="s">
        <v>1</v>
      </c>
      <c r="HB1" s="6" t="s">
        <v>1</v>
      </c>
      <c r="HC1" s="6" t="s">
        <v>1</v>
      </c>
      <c r="HD1" s="6" t="s">
        <v>1</v>
      </c>
      <c r="HE1" s="6" t="s">
        <v>1</v>
      </c>
      <c r="HF1" s="6" t="s">
        <v>1</v>
      </c>
      <c r="HG1" s="6" t="s">
        <v>1</v>
      </c>
      <c r="HH1" s="6" t="s">
        <v>1</v>
      </c>
      <c r="HI1" s="6" t="s">
        <v>1</v>
      </c>
      <c r="HJ1" s="6" t="s">
        <v>1</v>
      </c>
      <c r="HK1" s="6" t="s">
        <v>1</v>
      </c>
      <c r="HL1" s="6" t="s">
        <v>1</v>
      </c>
      <c r="HM1" s="6" t="s">
        <v>1</v>
      </c>
      <c r="HN1" s="6" t="s">
        <v>1</v>
      </c>
      <c r="HO1" s="6" t="s">
        <v>1</v>
      </c>
      <c r="HP1" s="6" t="s">
        <v>1</v>
      </c>
      <c r="HQ1" s="6" t="s">
        <v>1</v>
      </c>
      <c r="HR1" s="6" t="s">
        <v>1</v>
      </c>
      <c r="HS1" s="6" t="s">
        <v>1</v>
      </c>
      <c r="HT1" s="6" t="s">
        <v>1</v>
      </c>
      <c r="HU1" s="6" t="s">
        <v>1</v>
      </c>
      <c r="HV1" s="6" t="s">
        <v>1</v>
      </c>
      <c r="HW1" s="6" t="s">
        <v>1</v>
      </c>
      <c r="HX1" s="6" t="s">
        <v>1</v>
      </c>
      <c r="HY1" s="6" t="s">
        <v>1</v>
      </c>
      <c r="HZ1" s="6" t="s">
        <v>1</v>
      </c>
      <c r="IA1" s="6" t="s">
        <v>1</v>
      </c>
      <c r="IB1" s="6" t="s">
        <v>1</v>
      </c>
      <c r="IC1" s="6" t="s">
        <v>1</v>
      </c>
      <c r="ID1" s="6" t="s">
        <v>1</v>
      </c>
      <c r="IE1" s="6" t="s">
        <v>1</v>
      </c>
      <c r="IF1" s="6" t="s">
        <v>1</v>
      </c>
      <c r="IG1" s="6" t="s">
        <v>1</v>
      </c>
      <c r="IH1" s="6" t="s">
        <v>1</v>
      </c>
      <c r="II1" s="6" t="s">
        <v>1</v>
      </c>
      <c r="IJ1" s="6" t="s">
        <v>1</v>
      </c>
      <c r="IK1" s="6" t="s">
        <v>1</v>
      </c>
      <c r="IL1" s="6" t="s">
        <v>1</v>
      </c>
      <c r="IM1" s="6" t="s">
        <v>1</v>
      </c>
      <c r="IN1" s="6" t="s">
        <v>1</v>
      </c>
      <c r="IO1" s="6" t="s">
        <v>1</v>
      </c>
      <c r="IP1" s="6" t="s">
        <v>1</v>
      </c>
      <c r="IQ1" s="6" t="s">
        <v>1</v>
      </c>
      <c r="IR1" s="6" t="s">
        <v>1</v>
      </c>
      <c r="IS1" s="6" t="s">
        <v>1</v>
      </c>
      <c r="IT1" s="6" t="s">
        <v>1</v>
      </c>
      <c r="IU1" s="6" t="s">
        <v>1</v>
      </c>
      <c r="IV1" s="6" t="s">
        <v>1</v>
      </c>
      <c r="IW1" s="6" t="s">
        <v>1</v>
      </c>
      <c r="IX1" s="6" t="s">
        <v>1</v>
      </c>
      <c r="IY1" s="6" t="s">
        <v>1</v>
      </c>
      <c r="IZ1" s="6" t="s">
        <v>1</v>
      </c>
      <c r="JA1" s="6" t="s">
        <v>1</v>
      </c>
      <c r="JB1" s="6" t="s">
        <v>1</v>
      </c>
      <c r="JC1" s="6" t="s">
        <v>1</v>
      </c>
      <c r="JD1" s="6" t="s">
        <v>1</v>
      </c>
      <c r="JE1" s="6" t="s">
        <v>1</v>
      </c>
      <c r="JF1" s="6" t="s">
        <v>1</v>
      </c>
      <c r="JG1" s="6" t="s">
        <v>1</v>
      </c>
      <c r="JH1" s="6" t="s">
        <v>1</v>
      </c>
      <c r="JI1" s="6" t="s">
        <v>1</v>
      </c>
      <c r="JJ1" s="6" t="s">
        <v>1</v>
      </c>
      <c r="JK1" s="6" t="s">
        <v>1</v>
      </c>
      <c r="JL1" s="6" t="s">
        <v>1</v>
      </c>
      <c r="JM1" s="6" t="s">
        <v>1</v>
      </c>
      <c r="JN1" s="6" t="s">
        <v>1</v>
      </c>
      <c r="JO1" s="6" t="s">
        <v>1</v>
      </c>
      <c r="JP1" s="6" t="s">
        <v>1</v>
      </c>
      <c r="JQ1" s="6" t="s">
        <v>1</v>
      </c>
      <c r="JR1" s="6" t="s">
        <v>1</v>
      </c>
      <c r="JS1" s="6" t="s">
        <v>1</v>
      </c>
      <c r="JT1" s="6" t="s">
        <v>1</v>
      </c>
      <c r="JU1" s="6" t="s">
        <v>1</v>
      </c>
      <c r="JV1" s="6" t="s">
        <v>1</v>
      </c>
      <c r="JW1" s="6" t="s">
        <v>1</v>
      </c>
      <c r="JX1" s="6" t="s">
        <v>1</v>
      </c>
      <c r="JY1" s="6" t="s">
        <v>1</v>
      </c>
      <c r="JZ1" s="6" t="s">
        <v>1</v>
      </c>
      <c r="KA1" s="6" t="s">
        <v>1</v>
      </c>
      <c r="KB1" s="6" t="s">
        <v>1</v>
      </c>
      <c r="KC1" s="6" t="s">
        <v>1</v>
      </c>
      <c r="KD1" s="6" t="s">
        <v>1</v>
      </c>
      <c r="KE1" s="6" t="s">
        <v>1</v>
      </c>
      <c r="KF1" s="6" t="s">
        <v>1</v>
      </c>
      <c r="KG1" s="6" t="s">
        <v>1</v>
      </c>
      <c r="KH1" s="6" t="s">
        <v>1</v>
      </c>
      <c r="KI1" s="6" t="s">
        <v>1</v>
      </c>
      <c r="KJ1" s="6" t="s">
        <v>1</v>
      </c>
      <c r="KK1" s="6" t="s">
        <v>1</v>
      </c>
      <c r="KL1" s="6" t="s">
        <v>1</v>
      </c>
      <c r="KM1" s="6" t="s">
        <v>1</v>
      </c>
      <c r="KN1" s="6" t="s">
        <v>1</v>
      </c>
      <c r="KO1" s="6" t="s">
        <v>1</v>
      </c>
      <c r="KP1" s="6" t="s">
        <v>1</v>
      </c>
      <c r="KQ1" s="6" t="s">
        <v>1</v>
      </c>
      <c r="KR1" s="6" t="s">
        <v>1</v>
      </c>
      <c r="KS1" s="6" t="s">
        <v>1</v>
      </c>
      <c r="KT1" s="6" t="s">
        <v>1</v>
      </c>
      <c r="KU1" s="6" t="s">
        <v>1</v>
      </c>
      <c r="KV1" s="6" t="s">
        <v>1</v>
      </c>
      <c r="KW1" s="6" t="s">
        <v>1</v>
      </c>
      <c r="KX1" s="6" t="s">
        <v>1</v>
      </c>
      <c r="KY1" s="6" t="s">
        <v>1</v>
      </c>
      <c r="KZ1" s="6" t="s">
        <v>1</v>
      </c>
      <c r="LA1" s="6" t="s">
        <v>1</v>
      </c>
      <c r="LB1" s="6" t="s">
        <v>1</v>
      </c>
      <c r="LC1" s="6" t="s">
        <v>1</v>
      </c>
      <c r="LD1" s="6" t="s">
        <v>1</v>
      </c>
      <c r="LE1" s="6" t="s">
        <v>1</v>
      </c>
      <c r="LF1" s="6" t="s">
        <v>1</v>
      </c>
      <c r="LG1" s="6" t="s">
        <v>1</v>
      </c>
      <c r="LH1" s="6" t="s">
        <v>1</v>
      </c>
      <c r="LI1" s="6" t="s">
        <v>1</v>
      </c>
      <c r="LJ1" s="6" t="s">
        <v>1</v>
      </c>
      <c r="LK1" s="6" t="s">
        <v>1</v>
      </c>
      <c r="LL1" s="6" t="s">
        <v>1</v>
      </c>
      <c r="LM1" s="6" t="s">
        <v>1</v>
      </c>
      <c r="LN1" s="6" t="s">
        <v>1</v>
      </c>
      <c r="LO1" s="6" t="s">
        <v>1</v>
      </c>
      <c r="LP1" s="6" t="s">
        <v>1</v>
      </c>
      <c r="LQ1" s="6" t="s">
        <v>1</v>
      </c>
      <c r="LR1" s="6" t="s">
        <v>1</v>
      </c>
    </row>
    <row r="3" spans="1:330" ht="15.6" x14ac:dyDescent="0.3">
      <c r="A3" s="2" t="s">
        <v>2</v>
      </c>
      <c r="B3" s="2" t="s">
        <v>3</v>
      </c>
      <c r="C3" s="4">
        <v>36161</v>
      </c>
      <c r="D3" s="4">
        <v>36192</v>
      </c>
      <c r="E3" s="4">
        <v>36220</v>
      </c>
      <c r="F3" s="4">
        <v>36251</v>
      </c>
      <c r="G3" s="4">
        <v>36281</v>
      </c>
      <c r="H3" s="4">
        <v>36312</v>
      </c>
      <c r="I3" s="4">
        <v>36342</v>
      </c>
      <c r="J3" s="4">
        <v>36373</v>
      </c>
      <c r="K3" s="4">
        <v>36404</v>
      </c>
      <c r="L3" s="4">
        <v>36434</v>
      </c>
      <c r="M3" s="4">
        <v>36465</v>
      </c>
      <c r="N3" s="4">
        <v>36495</v>
      </c>
      <c r="O3" s="4">
        <v>36526</v>
      </c>
      <c r="P3" s="4">
        <v>36557</v>
      </c>
      <c r="Q3" s="4">
        <v>36586</v>
      </c>
      <c r="R3" s="4">
        <v>36617</v>
      </c>
      <c r="S3" s="4">
        <v>36647</v>
      </c>
      <c r="T3" s="4">
        <v>36678</v>
      </c>
      <c r="U3" s="4">
        <v>36708</v>
      </c>
      <c r="V3" s="4">
        <v>36739</v>
      </c>
      <c r="W3" s="4">
        <v>36770</v>
      </c>
      <c r="X3" s="4">
        <v>36800</v>
      </c>
      <c r="Y3" s="4">
        <v>36831</v>
      </c>
      <c r="Z3" s="4">
        <v>36861</v>
      </c>
      <c r="AA3" s="4">
        <v>36892</v>
      </c>
      <c r="AB3" s="4">
        <v>36923</v>
      </c>
      <c r="AC3" s="4">
        <v>36951</v>
      </c>
      <c r="AD3" s="4">
        <v>36982</v>
      </c>
      <c r="AE3" s="4">
        <v>37012</v>
      </c>
      <c r="AF3" s="4">
        <v>37043</v>
      </c>
      <c r="AG3" s="4">
        <v>37073</v>
      </c>
      <c r="AH3" s="4">
        <v>37104</v>
      </c>
      <c r="AI3" s="4">
        <v>37135</v>
      </c>
      <c r="AJ3" s="4">
        <v>37165</v>
      </c>
      <c r="AK3" s="4">
        <v>37196</v>
      </c>
      <c r="AL3" s="4">
        <v>37226</v>
      </c>
      <c r="AM3" s="4">
        <v>37257</v>
      </c>
      <c r="AN3" s="4">
        <v>37288</v>
      </c>
      <c r="AO3" s="4">
        <v>37316</v>
      </c>
      <c r="AP3" s="4">
        <v>37347</v>
      </c>
      <c r="AQ3" s="4">
        <v>37377</v>
      </c>
      <c r="AR3" s="4">
        <v>37408</v>
      </c>
      <c r="AS3" s="4">
        <v>37438</v>
      </c>
      <c r="AT3" s="4">
        <v>37469</v>
      </c>
      <c r="AU3" s="4">
        <v>37500</v>
      </c>
      <c r="AV3" s="4">
        <v>37530</v>
      </c>
      <c r="AW3" s="4">
        <v>37561</v>
      </c>
      <c r="AX3" s="4">
        <v>37591</v>
      </c>
      <c r="AY3" s="4">
        <v>37622</v>
      </c>
      <c r="AZ3" s="4">
        <v>37653</v>
      </c>
      <c r="BA3" s="4">
        <v>37681</v>
      </c>
      <c r="BB3" s="4">
        <v>37712</v>
      </c>
      <c r="BC3" s="4">
        <v>37742</v>
      </c>
      <c r="BD3" s="4">
        <v>37773</v>
      </c>
      <c r="BE3" s="4">
        <v>37803</v>
      </c>
      <c r="BF3" s="4">
        <v>37834</v>
      </c>
      <c r="BG3" s="4">
        <v>37865</v>
      </c>
      <c r="BH3" s="4">
        <v>37895</v>
      </c>
      <c r="BI3" s="4">
        <v>37926</v>
      </c>
      <c r="BJ3" s="4">
        <v>37956</v>
      </c>
      <c r="BK3" s="4">
        <v>37987</v>
      </c>
      <c r="BL3" s="4">
        <v>38018</v>
      </c>
      <c r="BM3" s="4">
        <v>38047</v>
      </c>
      <c r="BN3" s="4">
        <v>38078</v>
      </c>
      <c r="BO3" s="4">
        <v>38108</v>
      </c>
      <c r="BP3" s="4">
        <v>38139</v>
      </c>
      <c r="BQ3" s="4">
        <v>38169</v>
      </c>
      <c r="BR3" s="4">
        <v>38200</v>
      </c>
      <c r="BS3" s="4">
        <v>38231</v>
      </c>
      <c r="BT3" s="4">
        <v>38261</v>
      </c>
      <c r="BU3" s="4">
        <v>38292</v>
      </c>
      <c r="BV3" s="4">
        <v>38322</v>
      </c>
      <c r="BW3" s="4">
        <v>38353</v>
      </c>
      <c r="BX3" s="4">
        <v>38384</v>
      </c>
      <c r="BY3" s="4">
        <v>38412</v>
      </c>
      <c r="BZ3" s="4">
        <v>38443</v>
      </c>
      <c r="CA3" s="4">
        <v>38473</v>
      </c>
      <c r="CB3" s="4">
        <v>38504</v>
      </c>
      <c r="CC3" s="4">
        <v>38534</v>
      </c>
      <c r="CD3" s="4">
        <v>38565</v>
      </c>
      <c r="CE3" s="4">
        <v>38596</v>
      </c>
      <c r="CF3" s="4">
        <v>38626</v>
      </c>
      <c r="CG3" s="4">
        <v>38657</v>
      </c>
      <c r="CH3" s="4">
        <v>38687</v>
      </c>
      <c r="CI3" s="4">
        <v>38718</v>
      </c>
      <c r="CJ3" s="4">
        <v>38749</v>
      </c>
      <c r="CK3" s="4">
        <v>38777</v>
      </c>
      <c r="CL3" s="4">
        <v>38808</v>
      </c>
      <c r="CM3" s="4">
        <v>38838</v>
      </c>
      <c r="CN3" s="4">
        <v>38869</v>
      </c>
      <c r="CO3" s="4">
        <v>38899</v>
      </c>
      <c r="CP3" s="4">
        <v>38930</v>
      </c>
      <c r="CQ3" s="4">
        <v>38961</v>
      </c>
      <c r="CR3" s="4">
        <v>38991</v>
      </c>
      <c r="CS3" s="4">
        <v>39022</v>
      </c>
      <c r="CT3" s="4">
        <v>39052</v>
      </c>
      <c r="CU3" s="4">
        <v>39083</v>
      </c>
      <c r="CV3" s="4">
        <v>39114</v>
      </c>
      <c r="CW3" s="4">
        <v>39142</v>
      </c>
      <c r="CX3" s="4">
        <v>39173</v>
      </c>
      <c r="CY3" s="4">
        <v>39203</v>
      </c>
      <c r="CZ3" s="4">
        <v>39234</v>
      </c>
      <c r="DA3" s="4">
        <v>39264</v>
      </c>
      <c r="DB3" s="4">
        <v>39295</v>
      </c>
      <c r="DC3" s="4">
        <v>39326</v>
      </c>
      <c r="DD3" s="4">
        <v>39356</v>
      </c>
      <c r="DE3" s="4">
        <v>39387</v>
      </c>
      <c r="DF3" s="4">
        <v>39417</v>
      </c>
      <c r="DG3" s="4">
        <v>39448</v>
      </c>
      <c r="DH3" s="4">
        <v>39479</v>
      </c>
      <c r="DI3" s="4">
        <v>39508</v>
      </c>
      <c r="DJ3" s="4">
        <v>39539</v>
      </c>
      <c r="DK3" s="4">
        <v>39569</v>
      </c>
      <c r="DL3" s="4">
        <v>39600</v>
      </c>
      <c r="DM3" s="4">
        <v>39630</v>
      </c>
      <c r="DN3" s="4">
        <v>39661</v>
      </c>
      <c r="DO3" s="4">
        <v>39692</v>
      </c>
      <c r="DP3" s="4">
        <v>39722</v>
      </c>
      <c r="DQ3" s="4">
        <v>39753</v>
      </c>
      <c r="DR3" s="4">
        <v>39783</v>
      </c>
      <c r="DS3" s="4">
        <v>39814</v>
      </c>
      <c r="DT3" s="4">
        <v>39845</v>
      </c>
      <c r="DU3" s="4">
        <v>39873</v>
      </c>
      <c r="DV3" s="4">
        <v>39904</v>
      </c>
      <c r="DW3" s="4">
        <v>39934</v>
      </c>
      <c r="DX3" s="4">
        <v>39965</v>
      </c>
      <c r="DY3" s="4">
        <v>39995</v>
      </c>
      <c r="DZ3" s="4">
        <v>40026</v>
      </c>
      <c r="EA3" s="4">
        <v>40057</v>
      </c>
      <c r="EB3" s="4">
        <v>40087</v>
      </c>
      <c r="EC3" s="4">
        <v>40118</v>
      </c>
      <c r="ED3" s="4">
        <v>40148</v>
      </c>
      <c r="EE3" s="4">
        <v>40179</v>
      </c>
      <c r="EF3" s="4">
        <v>40210</v>
      </c>
      <c r="EG3" s="4">
        <v>40238</v>
      </c>
      <c r="EH3" s="4">
        <v>40269</v>
      </c>
      <c r="EI3" s="4">
        <v>40299</v>
      </c>
      <c r="EJ3" s="4">
        <v>40330</v>
      </c>
      <c r="EK3" s="4">
        <v>40360</v>
      </c>
      <c r="EL3" s="4">
        <v>40391</v>
      </c>
      <c r="EM3" s="4">
        <v>40422</v>
      </c>
      <c r="EN3" s="4">
        <v>40452</v>
      </c>
      <c r="EO3" s="4">
        <v>40483</v>
      </c>
      <c r="EP3" s="4">
        <v>40513</v>
      </c>
      <c r="EQ3" s="4">
        <v>40544</v>
      </c>
      <c r="ER3" s="4">
        <v>40575</v>
      </c>
      <c r="ES3" s="4">
        <v>40603</v>
      </c>
      <c r="ET3" s="4">
        <v>40634</v>
      </c>
      <c r="EU3" s="4">
        <v>40664</v>
      </c>
      <c r="EV3" s="4">
        <v>40695</v>
      </c>
      <c r="EW3" s="4">
        <v>40725</v>
      </c>
      <c r="EX3" s="4">
        <v>40756</v>
      </c>
      <c r="EY3" s="4">
        <v>40787</v>
      </c>
      <c r="EZ3" s="4">
        <v>40817</v>
      </c>
      <c r="FA3" s="4">
        <v>40848</v>
      </c>
      <c r="FB3" s="4">
        <v>40878</v>
      </c>
      <c r="FC3" s="4">
        <v>40909</v>
      </c>
      <c r="FD3" s="4">
        <v>40940</v>
      </c>
      <c r="FE3" s="4">
        <v>40969</v>
      </c>
      <c r="FF3" s="4">
        <v>41000</v>
      </c>
      <c r="FG3" s="4">
        <v>41030</v>
      </c>
      <c r="FH3" s="4">
        <v>41061</v>
      </c>
      <c r="FI3" s="4">
        <v>41091</v>
      </c>
      <c r="FJ3" s="4">
        <v>41122</v>
      </c>
      <c r="FK3" s="4">
        <v>41153</v>
      </c>
      <c r="FL3" s="4">
        <v>41183</v>
      </c>
      <c r="FM3" s="4">
        <v>41214</v>
      </c>
      <c r="FN3" s="4">
        <v>41244</v>
      </c>
      <c r="FO3" s="4">
        <v>41275</v>
      </c>
      <c r="FP3" s="4">
        <v>41306</v>
      </c>
      <c r="FQ3" s="4">
        <v>41334</v>
      </c>
      <c r="FR3" s="4">
        <v>41365</v>
      </c>
      <c r="FS3" s="4">
        <v>41395</v>
      </c>
      <c r="FT3" s="4">
        <v>41426</v>
      </c>
      <c r="FU3" s="4">
        <v>41456</v>
      </c>
      <c r="FV3" s="4">
        <v>41487</v>
      </c>
      <c r="FW3" s="4">
        <v>41518</v>
      </c>
      <c r="FX3" s="4">
        <v>41548</v>
      </c>
      <c r="FY3" s="4">
        <v>41579</v>
      </c>
      <c r="FZ3" s="4">
        <v>41609</v>
      </c>
      <c r="GA3" s="4">
        <v>41640</v>
      </c>
      <c r="GB3" s="4">
        <v>41671</v>
      </c>
      <c r="GC3" s="4">
        <v>41699</v>
      </c>
      <c r="GD3" s="4">
        <v>41730</v>
      </c>
      <c r="GE3" s="4">
        <v>41760</v>
      </c>
      <c r="GF3" s="4">
        <v>41791</v>
      </c>
      <c r="GG3" s="4">
        <v>41821</v>
      </c>
      <c r="GH3" s="4">
        <v>41852</v>
      </c>
      <c r="GI3" s="4">
        <v>41883</v>
      </c>
      <c r="GJ3" s="4">
        <v>41913</v>
      </c>
      <c r="GK3" s="4">
        <v>41944</v>
      </c>
      <c r="GL3" s="4">
        <v>41974</v>
      </c>
      <c r="GM3" s="4">
        <v>42005</v>
      </c>
      <c r="GN3" s="4">
        <v>42036</v>
      </c>
      <c r="GO3" s="4">
        <v>42064</v>
      </c>
      <c r="GP3" s="4">
        <v>42095</v>
      </c>
      <c r="GQ3" s="4">
        <v>42125</v>
      </c>
      <c r="GR3" s="4">
        <v>42156</v>
      </c>
      <c r="GS3" s="4">
        <v>42186</v>
      </c>
      <c r="GT3" s="4">
        <v>42217</v>
      </c>
      <c r="GU3" s="4">
        <v>42248</v>
      </c>
      <c r="GV3" s="4">
        <v>42278</v>
      </c>
      <c r="GW3" s="4">
        <v>42309</v>
      </c>
      <c r="GX3" s="4">
        <v>42339</v>
      </c>
      <c r="GY3" s="4">
        <v>42370</v>
      </c>
      <c r="GZ3" s="4">
        <v>42401</v>
      </c>
      <c r="HA3" s="4">
        <v>42430</v>
      </c>
      <c r="HB3" s="4">
        <v>42461</v>
      </c>
      <c r="HC3" s="4">
        <v>42491</v>
      </c>
      <c r="HD3" s="4">
        <v>42522</v>
      </c>
      <c r="HE3" s="4">
        <v>42552</v>
      </c>
      <c r="HF3" s="4">
        <v>42583</v>
      </c>
      <c r="HG3" s="4">
        <v>42614</v>
      </c>
      <c r="HH3" s="4">
        <v>42644</v>
      </c>
      <c r="HI3" s="4">
        <v>42675</v>
      </c>
      <c r="HJ3" s="4">
        <v>42705</v>
      </c>
      <c r="HK3" s="4">
        <v>42736</v>
      </c>
      <c r="HL3" s="4">
        <v>42767</v>
      </c>
      <c r="HM3" s="4">
        <v>42795</v>
      </c>
      <c r="HN3" s="4">
        <v>42826</v>
      </c>
      <c r="HO3" s="4">
        <v>42856</v>
      </c>
      <c r="HP3" s="4">
        <v>42887</v>
      </c>
      <c r="HQ3" s="4">
        <v>42917</v>
      </c>
      <c r="HR3" s="4">
        <v>42948</v>
      </c>
      <c r="HS3" s="4">
        <v>42979</v>
      </c>
      <c r="HT3" s="4">
        <v>43009</v>
      </c>
      <c r="HU3" s="4">
        <v>43040</v>
      </c>
      <c r="HV3" s="4">
        <v>43070</v>
      </c>
      <c r="HW3" s="4">
        <v>43101</v>
      </c>
      <c r="HX3" s="4">
        <v>43132</v>
      </c>
      <c r="HY3" s="4">
        <v>43160</v>
      </c>
      <c r="HZ3" s="4">
        <v>43191</v>
      </c>
      <c r="IA3" s="4">
        <v>43221</v>
      </c>
      <c r="IB3" s="4">
        <v>43252</v>
      </c>
      <c r="IC3" s="4">
        <v>43282</v>
      </c>
      <c r="ID3" s="4">
        <v>43313</v>
      </c>
      <c r="IE3" s="4">
        <v>43344</v>
      </c>
      <c r="IF3" s="4">
        <v>43374</v>
      </c>
      <c r="IG3" s="4">
        <v>43405</v>
      </c>
      <c r="IH3" s="4">
        <v>43435</v>
      </c>
      <c r="II3" s="4">
        <v>43466</v>
      </c>
      <c r="IJ3" s="4">
        <v>43497</v>
      </c>
      <c r="IK3" s="4">
        <v>43525</v>
      </c>
      <c r="IL3" s="4">
        <v>43556</v>
      </c>
      <c r="IM3" s="4">
        <v>43586</v>
      </c>
      <c r="IN3" s="4">
        <v>43617</v>
      </c>
      <c r="IO3" s="4">
        <v>43647</v>
      </c>
      <c r="IP3" s="4">
        <v>43678</v>
      </c>
      <c r="IQ3" s="4">
        <v>43709</v>
      </c>
      <c r="IR3" s="4">
        <v>43739</v>
      </c>
      <c r="IS3" s="4">
        <v>43770</v>
      </c>
      <c r="IT3" s="4">
        <v>43800</v>
      </c>
      <c r="IU3" s="4">
        <v>43831</v>
      </c>
      <c r="IV3" s="4">
        <v>43862</v>
      </c>
      <c r="IW3" s="4">
        <v>43891</v>
      </c>
      <c r="IX3" s="4">
        <v>43922</v>
      </c>
      <c r="IY3" s="4">
        <v>43952</v>
      </c>
      <c r="IZ3" s="4">
        <v>43983</v>
      </c>
      <c r="JA3" s="4">
        <v>44013</v>
      </c>
      <c r="JB3" s="4">
        <v>44044</v>
      </c>
      <c r="JC3" s="4">
        <v>44075</v>
      </c>
      <c r="JD3" s="4">
        <v>44105</v>
      </c>
      <c r="JE3" s="4">
        <v>44136</v>
      </c>
      <c r="JF3" s="4">
        <v>44166</v>
      </c>
      <c r="JG3" s="4">
        <v>44197</v>
      </c>
      <c r="JH3" s="4">
        <v>44228</v>
      </c>
      <c r="JI3" s="4">
        <v>44256</v>
      </c>
      <c r="JJ3" s="4">
        <v>44287</v>
      </c>
      <c r="JK3" s="4">
        <v>44317</v>
      </c>
      <c r="JL3" s="4">
        <v>44348</v>
      </c>
      <c r="JM3" s="4">
        <v>44378</v>
      </c>
      <c r="JN3" s="4">
        <v>44409</v>
      </c>
      <c r="JO3" s="4">
        <v>44440</v>
      </c>
      <c r="JP3" s="4">
        <v>44470</v>
      </c>
      <c r="JQ3" s="4">
        <v>44501</v>
      </c>
      <c r="JR3" s="4">
        <v>44531</v>
      </c>
      <c r="JS3" s="4">
        <v>44562</v>
      </c>
      <c r="JT3" s="4">
        <v>44593</v>
      </c>
      <c r="JU3" s="4">
        <v>44621</v>
      </c>
      <c r="JV3" s="4">
        <v>44652</v>
      </c>
      <c r="JW3" s="4">
        <v>44682</v>
      </c>
      <c r="JX3" s="4">
        <v>44713</v>
      </c>
      <c r="JY3" s="4">
        <v>44743</v>
      </c>
      <c r="JZ3" s="4">
        <v>44774</v>
      </c>
      <c r="KA3" s="4">
        <v>44805</v>
      </c>
      <c r="KB3" s="4">
        <v>44835</v>
      </c>
      <c r="KC3" s="4">
        <v>44866</v>
      </c>
      <c r="KD3" s="4">
        <v>44896</v>
      </c>
      <c r="KE3" s="4">
        <v>44927</v>
      </c>
      <c r="KF3" s="4">
        <v>44958</v>
      </c>
      <c r="KG3" s="4">
        <v>44986</v>
      </c>
      <c r="KH3" s="4">
        <v>45017</v>
      </c>
      <c r="KI3" s="4">
        <v>45047</v>
      </c>
      <c r="KJ3" s="4">
        <v>45078</v>
      </c>
      <c r="KK3" s="4">
        <v>45108</v>
      </c>
      <c r="KL3" s="4">
        <v>45139</v>
      </c>
      <c r="KM3" s="4">
        <v>45170</v>
      </c>
      <c r="KN3" s="4">
        <v>45200</v>
      </c>
      <c r="KO3" s="4">
        <v>45231</v>
      </c>
      <c r="KP3" s="4">
        <v>45261</v>
      </c>
      <c r="KQ3" s="4">
        <v>45292</v>
      </c>
      <c r="KR3" s="4">
        <v>45323</v>
      </c>
      <c r="KS3" s="4">
        <v>45352</v>
      </c>
      <c r="KT3" s="4">
        <v>45383</v>
      </c>
      <c r="KU3" s="4">
        <v>45413</v>
      </c>
      <c r="KV3" s="4">
        <v>45444</v>
      </c>
      <c r="KW3" s="4">
        <v>45474</v>
      </c>
      <c r="KX3" s="4">
        <v>45505</v>
      </c>
      <c r="KY3" s="4">
        <v>45536</v>
      </c>
      <c r="KZ3" s="4">
        <v>45566</v>
      </c>
      <c r="LA3" s="4">
        <v>45597</v>
      </c>
      <c r="LB3" s="4">
        <v>45627</v>
      </c>
      <c r="LC3" s="4">
        <v>45658</v>
      </c>
      <c r="LD3" s="4">
        <v>45689</v>
      </c>
      <c r="LE3" s="4">
        <v>45717</v>
      </c>
      <c r="LF3" s="4">
        <v>45748</v>
      </c>
      <c r="LG3" s="4">
        <v>45778</v>
      </c>
      <c r="LH3" s="4">
        <v>45809</v>
      </c>
      <c r="LI3" s="4">
        <v>45839</v>
      </c>
      <c r="LJ3" s="4">
        <v>45870</v>
      </c>
      <c r="LK3" s="4">
        <v>45901</v>
      </c>
      <c r="LL3" s="4">
        <v>45931</v>
      </c>
      <c r="LM3" s="4">
        <v>45962</v>
      </c>
      <c r="LN3" s="4">
        <v>45992</v>
      </c>
      <c r="LO3" s="4">
        <v>46023</v>
      </c>
      <c r="LP3" s="4">
        <v>46054</v>
      </c>
      <c r="LQ3" s="4">
        <v>46082</v>
      </c>
      <c r="LR3" s="4">
        <v>46113</v>
      </c>
    </row>
    <row r="4" spans="1:330" x14ac:dyDescent="0.3">
      <c r="A4" s="3" t="s">
        <v>4</v>
      </c>
      <c r="B4" s="3" t="s">
        <v>5</v>
      </c>
      <c r="C4" s="1">
        <v>0.161850894</v>
      </c>
      <c r="D4" s="1">
        <v>0.34799079100000002</v>
      </c>
      <c r="E4" s="1">
        <v>0.94938836299999996</v>
      </c>
      <c r="F4" s="1">
        <v>0.369960821</v>
      </c>
      <c r="G4" s="1">
        <v>4.1650026E-2</v>
      </c>
      <c r="H4" s="1">
        <v>0.17411000400000001</v>
      </c>
      <c r="I4" s="1">
        <v>-7.2480267000000001E-2</v>
      </c>
      <c r="J4" s="1">
        <v>0.124044555</v>
      </c>
      <c r="K4" s="1">
        <v>-6.3266069999999997E-3</v>
      </c>
      <c r="L4" s="1">
        <v>4.7110237999999999E-2</v>
      </c>
      <c r="M4" s="1">
        <v>5.8081702999999998E-2</v>
      </c>
      <c r="N4" s="1">
        <v>0.120038175</v>
      </c>
      <c r="O4" s="1">
        <v>0.25672716400000001</v>
      </c>
      <c r="P4" s="1">
        <v>0.53159302500000005</v>
      </c>
      <c r="Q4" s="1">
        <v>1.134165152</v>
      </c>
      <c r="R4" s="1">
        <v>0.37449390100000002</v>
      </c>
      <c r="S4" s="1">
        <v>0.134867926</v>
      </c>
      <c r="T4" s="1">
        <v>0.32269847299999999</v>
      </c>
      <c r="U4" s="1">
        <v>5.1105535000000001E-2</v>
      </c>
      <c r="V4" s="1">
        <v>7.8967698000000003E-2</v>
      </c>
      <c r="W4" s="1">
        <v>0.16716366699999999</v>
      </c>
      <c r="X4" s="1">
        <v>0.176362463</v>
      </c>
      <c r="Y4" s="1">
        <v>0.31005250600000001</v>
      </c>
      <c r="Z4" s="1">
        <v>0.21427389099999999</v>
      </c>
      <c r="AA4" s="1">
        <v>0.17903788900000001</v>
      </c>
      <c r="AB4" s="1">
        <v>4.0853265999999999E-2</v>
      </c>
      <c r="AC4" s="1">
        <v>0.96634046600000001</v>
      </c>
      <c r="AD4" s="1">
        <v>0.16328774099999999</v>
      </c>
      <c r="AE4" s="1">
        <v>5.5945395000000002E-2</v>
      </c>
      <c r="AF4" s="1">
        <v>0.22838313499999999</v>
      </c>
      <c r="AG4" s="1">
        <v>0.16787638699999999</v>
      </c>
      <c r="AH4" s="1">
        <v>0.457846804</v>
      </c>
      <c r="AI4" s="1">
        <v>0.303415622</v>
      </c>
      <c r="AJ4" s="1">
        <v>0.46915080399999998</v>
      </c>
      <c r="AK4" s="1">
        <v>0.23456981199999999</v>
      </c>
      <c r="AL4" s="1">
        <v>0.106974544</v>
      </c>
      <c r="AM4" s="1">
        <v>0.14147736399999999</v>
      </c>
      <c r="AN4" s="1">
        <v>0.46576731300000002</v>
      </c>
      <c r="AO4" s="1">
        <v>0.72641251799999995</v>
      </c>
      <c r="AP4" s="1">
        <v>0.15840602000000001</v>
      </c>
      <c r="AQ4" s="1">
        <v>0.15232214699999999</v>
      </c>
      <c r="AR4" s="1">
        <v>-2.0910427999999998E-2</v>
      </c>
      <c r="AS4" s="1">
        <v>-2.0628335000000001E-2</v>
      </c>
      <c r="AT4" s="1">
        <v>0.245742448</v>
      </c>
      <c r="AU4" s="1">
        <v>0.312629294</v>
      </c>
      <c r="AV4" s="1">
        <v>0.356316829</v>
      </c>
      <c r="AW4" s="1">
        <v>0.17113203199999999</v>
      </c>
      <c r="AX4" s="1">
        <v>0.138790678</v>
      </c>
      <c r="AY4" s="1">
        <v>-4.0772513000000003E-2</v>
      </c>
      <c r="AZ4" s="1">
        <v>0.39009727399999999</v>
      </c>
      <c r="BA4" s="1">
        <v>0.89680422000000004</v>
      </c>
      <c r="BB4" s="1">
        <v>0.318473591</v>
      </c>
      <c r="BC4" s="1">
        <v>9.6039583999999997E-2</v>
      </c>
      <c r="BD4" s="1">
        <v>1.4344875999999999E-2</v>
      </c>
      <c r="BE4" s="1">
        <v>-0.10411614499999999</v>
      </c>
      <c r="BF4" s="1">
        <v>-7.2224687999999995E-2</v>
      </c>
      <c r="BG4" s="1">
        <v>0.215527203</v>
      </c>
      <c r="BH4" s="1">
        <v>0.4287841</v>
      </c>
      <c r="BI4" s="1">
        <v>-3.0140310999999999E-2</v>
      </c>
      <c r="BJ4" s="1">
        <v>3.0820157000000001E-2</v>
      </c>
      <c r="BK4" s="1">
        <v>-6.7703155000000001E-2</v>
      </c>
      <c r="BL4" s="1">
        <v>2.6305913E-2</v>
      </c>
      <c r="BM4" s="1">
        <v>0.56129568299999999</v>
      </c>
      <c r="BN4" s="1">
        <v>8.7239185999999996E-2</v>
      </c>
      <c r="BO4" s="1">
        <v>-1.0896482000000001E-2</v>
      </c>
      <c r="BP4" s="1">
        <v>0.13170283299999999</v>
      </c>
      <c r="BQ4" s="1">
        <v>0.19011146200000001</v>
      </c>
      <c r="BR4" s="1">
        <v>3.9897768E-2</v>
      </c>
      <c r="BS4" s="1">
        <v>9.5623369999999999E-2</v>
      </c>
      <c r="BT4" s="1">
        <v>-5.8799293000000002E-2</v>
      </c>
      <c r="BU4" s="1">
        <v>1.0724845E-2</v>
      </c>
      <c r="BV4" s="1">
        <v>0.104904909</v>
      </c>
      <c r="BW4" s="1">
        <v>3.7571499000000001E-2</v>
      </c>
      <c r="BX4" s="1">
        <v>0.22000499400000001</v>
      </c>
      <c r="BY4" s="1">
        <v>0.70896334500000002</v>
      </c>
      <c r="BZ4" s="1">
        <v>0.31169491599999999</v>
      </c>
      <c r="CA4" s="1">
        <v>0.21221152200000001</v>
      </c>
      <c r="CB4" s="1">
        <v>0.22700657899999999</v>
      </c>
      <c r="CC4" s="1">
        <v>0.29377057000000001</v>
      </c>
      <c r="CD4" s="1">
        <v>0.18683385599999999</v>
      </c>
      <c r="CE4" s="1">
        <v>0.29553699300000003</v>
      </c>
      <c r="CF4" s="1">
        <v>0.181275783</v>
      </c>
      <c r="CG4" s="1">
        <v>0.15825251000000001</v>
      </c>
      <c r="CH4" s="1">
        <v>1.6762934E-2</v>
      </c>
      <c r="CI4" s="1">
        <v>3.2654535999999998E-2</v>
      </c>
      <c r="CJ4" s="1">
        <v>0.17479873300000001</v>
      </c>
      <c r="CK4" s="1">
        <v>0.89715158900000003</v>
      </c>
      <c r="CL4" s="1">
        <v>0.45610172900000001</v>
      </c>
      <c r="CM4" s="1">
        <v>0.148927051</v>
      </c>
      <c r="CN4" s="1">
        <v>0.13786646299999999</v>
      </c>
      <c r="CO4" s="1">
        <v>0.419587765</v>
      </c>
      <c r="CP4" s="1">
        <v>-1.9979508E-2</v>
      </c>
      <c r="CQ4" s="1">
        <v>0.17700280299999999</v>
      </c>
      <c r="CR4" s="1">
        <v>0.163210721</v>
      </c>
      <c r="CS4" s="1">
        <v>0.13072220600000001</v>
      </c>
      <c r="CT4" s="1">
        <v>0.138786189</v>
      </c>
      <c r="CU4" s="1">
        <v>0.20153227200000001</v>
      </c>
      <c r="CV4" s="1">
        <v>0.16079644100000001</v>
      </c>
      <c r="CW4" s="1">
        <v>0.66881073599999996</v>
      </c>
      <c r="CX4" s="1">
        <v>0.41121089799999999</v>
      </c>
      <c r="CY4" s="1">
        <v>0.35744050599999999</v>
      </c>
      <c r="CZ4" s="1">
        <v>0.23389422800000001</v>
      </c>
      <c r="DA4" s="1">
        <v>0.76211154999999997</v>
      </c>
      <c r="DB4" s="1">
        <v>0.612292104</v>
      </c>
      <c r="DC4" s="1">
        <v>0.71124987799999995</v>
      </c>
      <c r="DD4" s="1">
        <v>0.22349651200000001</v>
      </c>
      <c r="DE4" s="1">
        <v>0.41112685700000001</v>
      </c>
      <c r="DF4" s="1">
        <v>0.46118904599999999</v>
      </c>
      <c r="DG4" s="1">
        <v>0.49339708300000001</v>
      </c>
      <c r="DH4" s="1">
        <v>0.14835198799999999</v>
      </c>
      <c r="DI4" s="1">
        <v>1.301810838</v>
      </c>
      <c r="DJ4" s="1">
        <v>0.69358660900000002</v>
      </c>
      <c r="DK4" s="1">
        <v>0.66912645500000001</v>
      </c>
      <c r="DL4" s="1">
        <v>0.35711748999999998</v>
      </c>
      <c r="DM4" s="1">
        <v>0.75379565400000004</v>
      </c>
      <c r="DN4" s="1">
        <v>0.57360076400000004</v>
      </c>
      <c r="DO4" s="1">
        <v>0.50052611599999997</v>
      </c>
      <c r="DP4" s="1">
        <v>0.63450768099999999</v>
      </c>
      <c r="DQ4" s="1">
        <v>0.96449630600000003</v>
      </c>
      <c r="DR4" s="1">
        <v>0.43597909600000001</v>
      </c>
      <c r="DS4" s="1">
        <v>0.10123955699999999</v>
      </c>
      <c r="DT4" s="1">
        <v>0.10432991899999999</v>
      </c>
      <c r="DU4" s="1">
        <v>0.74308148799999996</v>
      </c>
      <c r="DV4" s="1">
        <v>-4.1304562000000003E-2</v>
      </c>
      <c r="DW4" s="1">
        <v>-0.21577095800000001</v>
      </c>
      <c r="DX4" s="1">
        <v>0.21069473599999999</v>
      </c>
      <c r="DY4" s="1">
        <v>-6.1146394E-2</v>
      </c>
      <c r="DZ4" s="1">
        <v>-0.140991532</v>
      </c>
      <c r="EA4" s="1">
        <v>0.207550871</v>
      </c>
      <c r="EB4" s="1">
        <v>5.0826696999999997E-2</v>
      </c>
      <c r="EC4" s="1">
        <v>-4.1114392E-2</v>
      </c>
      <c r="ED4" s="1">
        <v>-0.23552174300000001</v>
      </c>
      <c r="EE4" s="1">
        <v>-0.15343722000000001</v>
      </c>
      <c r="EF4" s="1">
        <v>0.24753719299999999</v>
      </c>
      <c r="EG4" s="1">
        <v>0.47544532099999998</v>
      </c>
      <c r="EH4" s="1">
        <v>0.20367226799999999</v>
      </c>
      <c r="EI4" s="1">
        <v>-0.106869336</v>
      </c>
      <c r="EJ4" s="1">
        <v>5.6102266999999997E-2</v>
      </c>
      <c r="EK4" s="1">
        <v>6.6295779999999999E-2</v>
      </c>
      <c r="EL4" s="1">
        <v>0.161165102</v>
      </c>
      <c r="EM4" s="1">
        <v>0.33104224399999999</v>
      </c>
      <c r="EN4" s="1">
        <v>0.124236656</v>
      </c>
      <c r="EO4" s="1">
        <v>-1.1170789E-2</v>
      </c>
      <c r="EP4" s="1">
        <v>5.4339779999999999E-3</v>
      </c>
      <c r="EQ4" s="1">
        <v>0.16389072199999999</v>
      </c>
      <c r="ER4" s="1">
        <v>0.218813167</v>
      </c>
      <c r="ES4" s="1">
        <v>0.56247504100000001</v>
      </c>
      <c r="ET4" s="1">
        <v>0.131747427</v>
      </c>
      <c r="EU4" s="1">
        <v>0.33701246099999999</v>
      </c>
      <c r="EV4" s="1">
        <v>-1.6078968999999999E-2</v>
      </c>
      <c r="EW4" s="1">
        <v>0.12241203000000001</v>
      </c>
      <c r="EX4" s="1">
        <v>0.13126974199999999</v>
      </c>
      <c r="EY4" s="1">
        <v>0.23130362400000001</v>
      </c>
      <c r="EZ4" s="1">
        <v>0.18548978899999999</v>
      </c>
      <c r="FA4" s="1">
        <v>0.17233889599999999</v>
      </c>
      <c r="FB4" s="1">
        <v>0.39921120900000001</v>
      </c>
      <c r="FC4" s="1">
        <v>0.41505272999999998</v>
      </c>
      <c r="FD4" s="1">
        <v>0.310734277</v>
      </c>
      <c r="FE4" s="1">
        <v>0.438628042</v>
      </c>
      <c r="FF4" s="1">
        <v>0.32355404500000001</v>
      </c>
      <c r="FG4" s="1">
        <v>3.6124621000000003E-2</v>
      </c>
      <c r="FH4" s="1">
        <v>1.6142466000000001E-2</v>
      </c>
      <c r="FI4" s="1">
        <v>7.5607951000000007E-2</v>
      </c>
      <c r="FJ4" s="1">
        <v>5.6396894000000003E-2</v>
      </c>
      <c r="FK4" s="1">
        <v>0.40867463999999998</v>
      </c>
      <c r="FL4" s="1">
        <v>0.118541861</v>
      </c>
      <c r="FM4" s="1">
        <v>0.143035782</v>
      </c>
      <c r="FN4" s="1">
        <v>0.24465150999999999</v>
      </c>
      <c r="FO4" s="1">
        <v>0.31027236800000002</v>
      </c>
      <c r="FP4" s="1">
        <v>0.16067495100000001</v>
      </c>
      <c r="FQ4" s="1">
        <v>0.80869870099999996</v>
      </c>
      <c r="FR4" s="1">
        <v>0.26497240900000002</v>
      </c>
      <c r="FS4" s="1">
        <v>2.4523752999999999E-2</v>
      </c>
      <c r="FT4" s="1">
        <v>0.19750517100000001</v>
      </c>
      <c r="FU4" s="1">
        <v>0.108373699</v>
      </c>
      <c r="FV4" s="1">
        <v>0.176578398</v>
      </c>
      <c r="FW4" s="1">
        <v>0.48129446799999998</v>
      </c>
      <c r="FX4" s="1">
        <v>0.39120327799999999</v>
      </c>
      <c r="FY4" s="1">
        <v>0.19528764100000001</v>
      </c>
      <c r="FZ4" s="1">
        <v>0.23957194000000001</v>
      </c>
      <c r="GA4" s="1">
        <v>0.31959715599999999</v>
      </c>
      <c r="GB4" s="1">
        <v>0.34745990399999999</v>
      </c>
      <c r="GC4" s="1">
        <v>1.052546668</v>
      </c>
      <c r="GD4" s="1">
        <v>0.79757154900000005</v>
      </c>
      <c r="GE4" s="1">
        <v>0.30529019299999999</v>
      </c>
      <c r="GF4" s="1">
        <v>0.16816938000000001</v>
      </c>
      <c r="GG4" s="1">
        <v>9.6281396000000005E-2</v>
      </c>
      <c r="GH4" s="1">
        <v>0.218163881</v>
      </c>
      <c r="GI4" s="1">
        <v>0.60121770500000005</v>
      </c>
      <c r="GJ4" s="1">
        <v>0.62368375200000004</v>
      </c>
      <c r="GK4" s="1">
        <v>0.27180952600000002</v>
      </c>
      <c r="GL4" s="1">
        <v>7.1150078000000005E-2</v>
      </c>
      <c r="GM4" s="1">
        <v>0.54234295399999999</v>
      </c>
      <c r="GN4" s="1">
        <v>0.39392105300000002</v>
      </c>
      <c r="GO4" s="1">
        <v>1.0662199889999999</v>
      </c>
      <c r="GP4" s="1">
        <v>0.69486751800000002</v>
      </c>
      <c r="GQ4" s="1">
        <v>0.26876331199999998</v>
      </c>
      <c r="GR4" s="1">
        <v>0.20704520900000001</v>
      </c>
      <c r="GS4" s="1">
        <v>0.34041065300000001</v>
      </c>
      <c r="GT4" s="1">
        <v>0.42523114299999998</v>
      </c>
      <c r="GU4" s="1">
        <v>0.483463268</v>
      </c>
      <c r="GV4" s="1">
        <v>0.44675721400000001</v>
      </c>
      <c r="GW4" s="1">
        <v>0.26012811400000002</v>
      </c>
      <c r="GX4" s="1">
        <v>0.14255786300000001</v>
      </c>
      <c r="GY4" s="1">
        <v>0.41126239999999997</v>
      </c>
      <c r="GZ4" s="1">
        <v>0.43762229699999999</v>
      </c>
      <c r="HA4" s="1">
        <v>0.78528677000000002</v>
      </c>
      <c r="HB4" s="1">
        <v>0.56496147200000002</v>
      </c>
      <c r="HC4" s="1">
        <v>0.14091880100000001</v>
      </c>
      <c r="HD4" s="1">
        <v>0.20052095</v>
      </c>
      <c r="HE4" s="1">
        <v>0.25678413100000003</v>
      </c>
      <c r="HF4" s="1">
        <v>0.16233468600000001</v>
      </c>
      <c r="HG4" s="1">
        <v>7.0526854E-2</v>
      </c>
      <c r="HH4" s="1">
        <v>0.14210309900000001</v>
      </c>
      <c r="HI4" s="1">
        <v>0.133019261</v>
      </c>
      <c r="HJ4" s="1">
        <v>5.6595179999999997E-3</v>
      </c>
      <c r="HK4" s="1">
        <v>0.36802202299999998</v>
      </c>
      <c r="HL4" s="1">
        <v>0.319418376</v>
      </c>
      <c r="HM4" s="1">
        <v>0.584358618</v>
      </c>
      <c r="HN4" s="1">
        <v>0.47754317600000001</v>
      </c>
      <c r="HO4" s="1">
        <v>0.105914623</v>
      </c>
      <c r="HP4" s="1">
        <v>2.0346280000000001E-2</v>
      </c>
      <c r="HQ4" s="1">
        <v>0.102781809</v>
      </c>
      <c r="HR4" s="1">
        <v>9.6108698000000006E-2</v>
      </c>
      <c r="HS4" s="1">
        <v>-2.7007730000000001E-2</v>
      </c>
      <c r="HT4" s="1">
        <v>0.319585701</v>
      </c>
      <c r="HU4" s="1">
        <v>-0.119222648</v>
      </c>
      <c r="HV4" s="1">
        <v>1.48503E-4</v>
      </c>
      <c r="HW4" s="1">
        <v>0.38072954799999997</v>
      </c>
      <c r="HX4" s="1">
        <v>0.131805063</v>
      </c>
      <c r="HY4" s="1">
        <v>0.60298965199999999</v>
      </c>
      <c r="HZ4" s="1">
        <v>0.24726986300000001</v>
      </c>
      <c r="IA4" s="1">
        <v>0.185657878</v>
      </c>
      <c r="IB4" s="1">
        <v>0.16144843</v>
      </c>
      <c r="IC4" s="1">
        <v>9.3321223999999994E-2</v>
      </c>
      <c r="ID4" s="1">
        <v>5.9257129999999998E-2</v>
      </c>
      <c r="IE4" s="1">
        <v>7.1462066000000005E-2</v>
      </c>
      <c r="IF4" s="1">
        <v>0.21979017200000001</v>
      </c>
      <c r="IG4" s="1">
        <v>6.0888211999999997E-2</v>
      </c>
      <c r="IH4" s="1">
        <v>-2.8874973000000002E-2</v>
      </c>
      <c r="II4" s="1">
        <v>0.38692785000000002</v>
      </c>
      <c r="IJ4" s="1">
        <v>0.23138408499999999</v>
      </c>
      <c r="IK4" s="1">
        <v>0.64082679600000003</v>
      </c>
      <c r="IL4" s="1">
        <v>0.28229789599999999</v>
      </c>
      <c r="IM4" s="1">
        <v>9.1633510000000001E-2</v>
      </c>
      <c r="IN4" s="1">
        <v>5.5614155999999998E-2</v>
      </c>
      <c r="IO4" s="1">
        <v>0.19483253</v>
      </c>
      <c r="IP4" s="1">
        <v>3.5188564999999998E-2</v>
      </c>
      <c r="IQ4" s="1">
        <v>0.106605407</v>
      </c>
      <c r="IR4" s="1">
        <v>0.24993251899999999</v>
      </c>
      <c r="IS4" s="1">
        <v>4.9572961999999998E-2</v>
      </c>
      <c r="IT4" s="1">
        <v>0.183525668</v>
      </c>
      <c r="IU4" s="1">
        <v>0.17214381600000001</v>
      </c>
      <c r="IV4" s="1">
        <v>0.44801832600000002</v>
      </c>
      <c r="IW4" s="1">
        <v>0.64752732700000004</v>
      </c>
      <c r="IX4" s="1">
        <v>0.43236013499999998</v>
      </c>
      <c r="IY4" s="1">
        <v>1.8827606E-2</v>
      </c>
      <c r="IZ4" s="1">
        <v>-7.0216451999999999E-2</v>
      </c>
      <c r="JA4" s="1">
        <v>0.19882203600000001</v>
      </c>
      <c r="JB4" s="1">
        <v>0.16595716599999999</v>
      </c>
      <c r="JC4" s="1">
        <v>0.35844932800000001</v>
      </c>
      <c r="JD4" s="1">
        <v>0.51593520500000001</v>
      </c>
      <c r="JE4" s="1">
        <v>1.5288470000000001E-3</v>
      </c>
      <c r="JF4" s="1">
        <v>0.20176785</v>
      </c>
      <c r="JG4" s="1">
        <v>0.49258846699999997</v>
      </c>
      <c r="JH4" s="1">
        <v>0.104577031</v>
      </c>
      <c r="JI4" s="1">
        <v>0.52293604400000004</v>
      </c>
      <c r="JJ4" s="1">
        <v>0.54222009900000001</v>
      </c>
      <c r="JK4" s="1">
        <v>0.23655108599999999</v>
      </c>
      <c r="JL4" s="1">
        <v>-0.106256403</v>
      </c>
      <c r="JM4" s="1">
        <v>0.63650304599999996</v>
      </c>
      <c r="JN4" s="1">
        <v>0.23614432599999999</v>
      </c>
      <c r="JO4" s="1">
        <v>0.770021281</v>
      </c>
      <c r="JP4" s="1">
        <v>0.37636355900000001</v>
      </c>
      <c r="JQ4" s="1">
        <v>0.65242621300000003</v>
      </c>
      <c r="JR4" s="1">
        <v>0.73495623899999996</v>
      </c>
      <c r="JS4" s="1">
        <v>1.072553506</v>
      </c>
      <c r="JT4" s="1">
        <v>0.68325338300000005</v>
      </c>
      <c r="JU4" s="1">
        <v>1.3951803840000001</v>
      </c>
      <c r="JV4" s="1">
        <v>1.1407453080000001</v>
      </c>
      <c r="JW4" s="1">
        <v>0.86615531999999995</v>
      </c>
      <c r="JX4" s="1">
        <v>0.72281242999999995</v>
      </c>
      <c r="JY4" s="1">
        <v>0.76413451099999996</v>
      </c>
      <c r="JZ4" s="1">
        <v>0.84639693699999996</v>
      </c>
      <c r="KA4" s="1">
        <v>0.86705556900000003</v>
      </c>
      <c r="KB4" s="1">
        <v>0.18209388800000001</v>
      </c>
      <c r="KC4" s="1">
        <v>0.77472409799999997</v>
      </c>
      <c r="KD4" s="1">
        <v>0.29099108200000001</v>
      </c>
      <c r="KE4" s="1">
        <v>1.1115874240000001</v>
      </c>
      <c r="KF4" s="1">
        <v>0.64254573299999995</v>
      </c>
      <c r="KG4" s="1">
        <v>1.1640403530000001</v>
      </c>
      <c r="KH4" s="1">
        <v>0.67068576099999999</v>
      </c>
      <c r="KI4" s="1">
        <v>0.456931635</v>
      </c>
      <c r="KJ4" s="1">
        <v>1.9665539999999999E-2</v>
      </c>
      <c r="KK4" s="1">
        <v>0.21619759599999999</v>
      </c>
      <c r="KL4" s="1">
        <v>-0.10552054399999999</v>
      </c>
      <c r="KM4" s="1">
        <v>0.19225314600000001</v>
      </c>
      <c r="KN4" s="1">
        <v>-3.3370648000000003E-2</v>
      </c>
      <c r="KO4" s="1">
        <v>0.505463035</v>
      </c>
      <c r="KP4" s="1">
        <v>-0.27183044699999998</v>
      </c>
      <c r="KQ4" s="1">
        <v>0.726310652</v>
      </c>
      <c r="KR4" s="1">
        <v>0.60829021999999999</v>
      </c>
      <c r="KS4" s="1">
        <v>0.62046077799999999</v>
      </c>
      <c r="KT4" s="1">
        <v>0.54018428883259995</v>
      </c>
      <c r="KU4" s="1">
        <v>0.40015626883639999</v>
      </c>
      <c r="KV4" s="1">
        <v>-0.242694583819</v>
      </c>
      <c r="KW4" s="1">
        <v>0.4560207285724</v>
      </c>
      <c r="KX4" s="1">
        <v>9.6738779512700004E-2</v>
      </c>
      <c r="KY4" s="1">
        <v>0.33903633707690001</v>
      </c>
      <c r="KZ4" s="1">
        <v>0.41287384682759998</v>
      </c>
      <c r="LA4" s="1">
        <v>0.27504157761230003</v>
      </c>
      <c r="LB4" s="1">
        <v>4.1826073101999999E-3</v>
      </c>
      <c r="LC4" s="1">
        <v>0.6254855267335</v>
      </c>
      <c r="LD4" s="1">
        <v>0.26603843475490002</v>
      </c>
      <c r="LE4" s="1">
        <v>0.43116904011059998</v>
      </c>
      <c r="LF4" s="1">
        <v>0.42434575004070002</v>
      </c>
      <c r="LG4" s="1">
        <v>0.41836415657279202</v>
      </c>
      <c r="LH4" s="1">
        <v>-1.7888307558166599E-2</v>
      </c>
      <c r="LI4" s="1">
        <v>0.63643275822711598</v>
      </c>
      <c r="LJ4" s="1">
        <v>4.56359653074401E-3</v>
      </c>
      <c r="LK4" s="1">
        <v>0.39587499566735601</v>
      </c>
      <c r="LL4" s="1">
        <v>-7.1860158365637999E-2</v>
      </c>
      <c r="LM4" s="1">
        <v>0.23774210749098801</v>
      </c>
      <c r="LN4" s="1">
        <v>-6.4672751362465405E-2</v>
      </c>
      <c r="LO4" s="1">
        <v>0.73607125435413001</v>
      </c>
      <c r="LP4" s="1">
        <v>0.17100274451988201</v>
      </c>
      <c r="LQ4" s="1">
        <v>0.48902981505864301</v>
      </c>
      <c r="LR4" s="1">
        <v>0.45719793485432098</v>
      </c>
    </row>
    <row r="5" spans="1:330" x14ac:dyDescent="0.3">
      <c r="A5" s="7"/>
      <c r="B5" s="7"/>
      <c r="C5" s="7">
        <f t="shared" ref="A5:BL5" si="0">+D5*(1-C4%)</f>
        <v>41.467351582656192</v>
      </c>
      <c r="D5" s="7">
        <f t="shared" si="0"/>
        <v>41.534575664688596</v>
      </c>
      <c r="E5" s="7">
        <f t="shared" si="0"/>
        <v>41.679616893201015</v>
      </c>
      <c r="F5" s="7">
        <f t="shared" si="0"/>
        <v>42.079111077020087</v>
      </c>
      <c r="G5" s="7">
        <f t="shared" si="0"/>
        <v>42.235365381537974</v>
      </c>
      <c r="H5" s="7">
        <f t="shared" si="0"/>
        <v>42.252963751926423</v>
      </c>
      <c r="I5" s="7">
        <f t="shared" si="0"/>
        <v>42.326658699080461</v>
      </c>
      <c r="J5" s="7">
        <f t="shared" si="0"/>
        <v>42.296002443579027</v>
      </c>
      <c r="K5" s="7">
        <f t="shared" si="0"/>
        <v>42.348533493500064</v>
      </c>
      <c r="L5" s="7">
        <f t="shared" si="0"/>
        <v>42.345854437709001</v>
      </c>
      <c r="M5" s="7">
        <f t="shared" si="0"/>
        <v>42.365813073078364</v>
      </c>
      <c r="N5" s="7">
        <f t="shared" si="0"/>
        <v>42.390434159147091</v>
      </c>
      <c r="O5" s="7">
        <f t="shared" si="0"/>
        <v>42.441380017164512</v>
      </c>
      <c r="P5" s="7">
        <f t="shared" si="0"/>
        <v>42.550619014625205</v>
      </c>
      <c r="Q5" s="7">
        <f t="shared" si="0"/>
        <v>42.778024006476457</v>
      </c>
      <c r="R5" s="7">
        <f t="shared" si="0"/>
        <v>43.268763240855627</v>
      </c>
      <c r="S5" s="7">
        <f t="shared" si="0"/>
        <v>43.431411227019041</v>
      </c>
      <c r="T5" s="7">
        <f t="shared" si="0"/>
        <v>43.49006537620798</v>
      </c>
      <c r="U5" s="7">
        <f t="shared" si="0"/>
        <v>43.630861500025311</v>
      </c>
      <c r="V5" s="7">
        <f t="shared" si="0"/>
        <v>43.65317068644908</v>
      </c>
      <c r="W5" s="7">
        <f t="shared" si="0"/>
        <v>43.687669833626536</v>
      </c>
      <c r="X5" s="7">
        <f t="shared" si="0"/>
        <v>43.760822028438618</v>
      </c>
      <c r="Y5" s="7">
        <f t="shared" si="0"/>
        <v>43.838136044900693</v>
      </c>
      <c r="Z5" s="7">
        <f t="shared" si="0"/>
        <v>43.974480022210024</v>
      </c>
      <c r="AA5" s="7">
        <f t="shared" si="0"/>
        <v>44.068908186502462</v>
      </c>
      <c r="AB5" s="7">
        <f t="shared" si="0"/>
        <v>44.147949743760471</v>
      </c>
      <c r="AC5" s="7">
        <f t="shared" si="0"/>
        <v>44.165992994359996</v>
      </c>
      <c r="AD5" s="7">
        <f t="shared" si="0"/>
        <v>44.596951382168236</v>
      </c>
      <c r="AE5" s="7">
        <f t="shared" si="0"/>
        <v>44.669891839460028</v>
      </c>
      <c r="AF5" s="7">
        <f t="shared" si="0"/>
        <v>44.694896575894255</v>
      </c>
      <c r="AG5" s="7">
        <f t="shared" si="0"/>
        <v>44.797205838981725</v>
      </c>
      <c r="AH5" s="7">
        <f t="shared" si="0"/>
        <v>44.872536231562535</v>
      </c>
      <c r="AI5" s="7">
        <f t="shared" si="0"/>
        <v>45.078928665736044</v>
      </c>
      <c r="AJ5" s="7">
        <f t="shared" si="0"/>
        <v>45.216121441853119</v>
      </c>
      <c r="AK5" s="7">
        <f t="shared" si="0"/>
        <v>45.429253148249323</v>
      </c>
      <c r="AL5" s="7">
        <f t="shared" si="0"/>
        <v>45.536067015038689</v>
      </c>
      <c r="AM5" s="7">
        <f t="shared" si="0"/>
        <v>45.584831180327015</v>
      </c>
      <c r="AN5" s="7">
        <f t="shared" si="0"/>
        <v>45.649414769023657</v>
      </c>
      <c r="AO5" s="7">
        <f t="shared" si="0"/>
        <v>45.863029770445856</v>
      </c>
      <c r="AP5" s="7">
        <f t="shared" si="0"/>
        <v>46.198622346313016</v>
      </c>
      <c r="AQ5" s="7">
        <f t="shared" si="0"/>
        <v>46.271919852929635</v>
      </c>
      <c r="AR5" s="7">
        <f t="shared" si="0"/>
        <v>46.342509758767875</v>
      </c>
      <c r="AS5" s="7">
        <f t="shared" si="0"/>
        <v>46.33282136751545</v>
      </c>
      <c r="AT5" s="7">
        <f t="shared" si="0"/>
        <v>46.323265649094409</v>
      </c>
      <c r="AU5" s="7">
        <f t="shared" si="0"/>
        <v>46.437382008429033</v>
      </c>
      <c r="AV5" s="7">
        <f t="shared" si="0"/>
        <v>46.58301415671108</v>
      </c>
      <c r="AW5" s="7">
        <f t="shared" si="0"/>
        <v>46.749590816278122</v>
      </c>
      <c r="AX5" s="7">
        <f t="shared" si="0"/>
        <v>46.829731487352575</v>
      </c>
      <c r="AY5" s="7">
        <f t="shared" si="0"/>
        <v>46.894817121983039</v>
      </c>
      <c r="AZ5" s="7">
        <f t="shared" si="0"/>
        <v>46.875704719182565</v>
      </c>
      <c r="BA5" s="7">
        <f t="shared" si="0"/>
        <v>47.059281694235757</v>
      </c>
      <c r="BB5" s="7">
        <f t="shared" si="0"/>
        <v>47.485130347060696</v>
      </c>
      <c r="BC5" s="7">
        <f t="shared" si="0"/>
        <v>47.636841105568564</v>
      </c>
      <c r="BD5" s="7">
        <f t="shared" si="0"/>
        <v>47.682635310160677</v>
      </c>
      <c r="BE5" s="7">
        <f t="shared" si="0"/>
        <v>47.689476306401879</v>
      </c>
      <c r="BF5" s="7">
        <f t="shared" si="0"/>
        <v>47.639875504543745</v>
      </c>
      <c r="BG5" s="7">
        <f t="shared" si="0"/>
        <v>47.605492586052598</v>
      </c>
      <c r="BH5" s="7">
        <f t="shared" si="0"/>
        <v>47.708316987253596</v>
      </c>
      <c r="BI5" s="7">
        <f t="shared" si="0"/>
        <v>47.913763587227216</v>
      </c>
      <c r="BJ5" s="7">
        <f t="shared" si="0"/>
        <v>47.899326581228728</v>
      </c>
      <c r="BK5" s="7">
        <f t="shared" si="0"/>
        <v>47.914093780156897</v>
      </c>
      <c r="BL5" s="7">
        <f t="shared" si="0"/>
        <v>47.881676374584416</v>
      </c>
      <c r="BM5" s="7">
        <f t="shared" ref="BM5:DX5" si="1">+BN5*(1-BM4%)</f>
        <v>47.894275401003384</v>
      </c>
      <c r="BN5" s="7">
        <f t="shared" si="1"/>
        <v>48.164621341325535</v>
      </c>
      <c r="BO5" s="7">
        <f t="shared" si="1"/>
        <v>48.206676453461185</v>
      </c>
      <c r="BP5" s="7">
        <f t="shared" si="1"/>
        <v>48.201424193950153</v>
      </c>
      <c r="BQ5" s="7">
        <f t="shared" si="1"/>
        <v>48.264990553856769</v>
      </c>
      <c r="BR5" s="7">
        <f t="shared" si="1"/>
        <v>48.356922606402009</v>
      </c>
      <c r="BS5" s="7">
        <f t="shared" si="1"/>
        <v>48.376223639877004</v>
      </c>
      <c r="BT5" s="7">
        <f t="shared" si="1"/>
        <v>48.422526891930225</v>
      </c>
      <c r="BU5" s="7">
        <f t="shared" si="1"/>
        <v>48.394071520022543</v>
      </c>
      <c r="BV5" s="7">
        <f t="shared" si="1"/>
        <v>48.399262265881703</v>
      </c>
      <c r="BW5" s="7">
        <f t="shared" si="1"/>
        <v>48.450088787434581</v>
      </c>
      <c r="BX5" s="7">
        <f t="shared" si="1"/>
        <v>48.468299053928945</v>
      </c>
      <c r="BY5" s="7">
        <f t="shared" si="1"/>
        <v>48.575166846835813</v>
      </c>
      <c r="BZ5" s="7">
        <f t="shared" si="1"/>
        <v>48.92200593656478</v>
      </c>
      <c r="CA5" s="7">
        <f t="shared" si="1"/>
        <v>49.074970123468148</v>
      </c>
      <c r="CB5" s="7">
        <f t="shared" si="1"/>
        <v>49.179334337374961</v>
      </c>
      <c r="CC5" s="7">
        <f t="shared" si="1"/>
        <v>49.291228669324262</v>
      </c>
      <c r="CD5" s="7">
        <f t="shared" si="1"/>
        <v>49.436458435056743</v>
      </c>
      <c r="CE5" s="7">
        <f t="shared" si="1"/>
        <v>49.528995366938858</v>
      </c>
      <c r="CF5" s="7">
        <f t="shared" si="1"/>
        <v>49.675805749499453</v>
      </c>
      <c r="CG5" s="7">
        <f t="shared" si="1"/>
        <v>49.766019490999696</v>
      </c>
      <c r="CH5" s="7">
        <f t="shared" si="1"/>
        <v>49.844900296826424</v>
      </c>
      <c r="CI5" s="7">
        <f t="shared" si="1"/>
        <v>49.853257165421915</v>
      </c>
      <c r="CJ5" s="7">
        <f t="shared" si="1"/>
        <v>49.86954183291278</v>
      </c>
      <c r="CK5" s="7">
        <f t="shared" si="1"/>
        <v>49.956865801380104</v>
      </c>
      <c r="CL5" s="7">
        <f t="shared" si="1"/>
        <v>50.40911195024249</v>
      </c>
      <c r="CM5" s="7">
        <f t="shared" si="1"/>
        <v>50.640082240910303</v>
      </c>
      <c r="CN5" s="7">
        <f t="shared" si="1"/>
        <v>50.715611505522098</v>
      </c>
      <c r="CO5" s="7">
        <f t="shared" si="1"/>
        <v>50.785627854357244</v>
      </c>
      <c r="CP5" s="7">
        <f t="shared" si="1"/>
        <v>50.999616003304091</v>
      </c>
      <c r="CQ5" s="7">
        <f t="shared" si="1"/>
        <v>50.989428566344529</v>
      </c>
      <c r="CR5" s="7">
        <f t="shared" si="1"/>
        <v>51.079841317244004</v>
      </c>
      <c r="CS5" s="7">
        <f t="shared" si="1"/>
        <v>51.163345382129897</v>
      </c>
      <c r="CT5" s="7">
        <f t="shared" si="1"/>
        <v>51.230314779750728</v>
      </c>
      <c r="CU5" s="7">
        <f t="shared" si="1"/>
        <v>51.30151419620293</v>
      </c>
      <c r="CV5" s="7">
        <f t="shared" si="1"/>
        <v>51.405112086515032</v>
      </c>
      <c r="CW5" s="7">
        <f t="shared" si="1"/>
        <v>51.487902801765813</v>
      </c>
      <c r="CX5" s="7">
        <f t="shared" si="1"/>
        <v>51.834578024554332</v>
      </c>
      <c r="CY5" s="7">
        <f t="shared" si="1"/>
        <v>52.048607571144132</v>
      </c>
      <c r="CZ5" s="7">
        <f t="shared" si="1"/>
        <v>52.235317755239166</v>
      </c>
      <c r="DA5" s="7">
        <f t="shared" si="1"/>
        <v>52.357779579584779</v>
      </c>
      <c r="DB5" s="7">
        <f t="shared" si="1"/>
        <v>52.75986863219557</v>
      </c>
      <c r="DC5" s="7">
        <f t="shared" si="1"/>
        <v>53.084903303539178</v>
      </c>
      <c r="DD5" s="7">
        <f t="shared" si="1"/>
        <v>53.465174290452509</v>
      </c>
      <c r="DE5" s="7">
        <f t="shared" si="1"/>
        <v>53.584934750577524</v>
      </c>
      <c r="DF5" s="7">
        <f t="shared" si="1"/>
        <v>53.806146268604458</v>
      </c>
      <c r="DG5" s="7">
        <f t="shared" si="1"/>
        <v>54.055444055354407</v>
      </c>
      <c r="DH5" s="7">
        <f t="shared" si="1"/>
        <v>54.323474493891517</v>
      </c>
      <c r="DI5" s="7">
        <f t="shared" si="1"/>
        <v>54.404184182681703</v>
      </c>
      <c r="DJ5" s="7">
        <f t="shared" si="1"/>
        <v>55.121765297420446</v>
      </c>
      <c r="DK5" s="7">
        <f t="shared" si="1"/>
        <v>55.506752701247038</v>
      </c>
      <c r="DL5" s="7">
        <f t="shared" si="1"/>
        <v>55.880665014086219</v>
      </c>
      <c r="DM5" s="7">
        <f t="shared" si="1"/>
        <v>56.080939858878658</v>
      </c>
      <c r="DN5" s="7">
        <f t="shared" si="1"/>
        <v>56.506886312110062</v>
      </c>
      <c r="DO5" s="7">
        <f t="shared" si="1"/>
        <v>56.832880146835514</v>
      </c>
      <c r="DP5" s="7">
        <f t="shared" si="1"/>
        <v>57.11877453049982</v>
      </c>
      <c r="DQ5" s="7">
        <f t="shared" si="1"/>
        <v>57.483511828359305</v>
      </c>
      <c r="DR5" s="7">
        <f t="shared" si="1"/>
        <v>58.043337676124629</v>
      </c>
      <c r="DS5" s="7">
        <f t="shared" si="1"/>
        <v>58.29750260095485</v>
      </c>
      <c r="DT5" s="7">
        <f t="shared" si="1"/>
        <v>58.356582546605374</v>
      </c>
      <c r="DU5" s="7">
        <f t="shared" si="1"/>
        <v>58.417529507822685</v>
      </c>
      <c r="DV5" s="7">
        <f t="shared" si="1"/>
        <v>58.854869145227489</v>
      </c>
      <c r="DW5" s="7">
        <f t="shared" si="1"/>
        <v>58.83056943619976</v>
      </c>
      <c r="DX5" s="7">
        <f t="shared" si="1"/>
        <v>58.703903461317879</v>
      </c>
      <c r="DY5" s="7">
        <f t="shared" ref="DY5:GJ5" si="2">+DZ5*(1-DY4%)</f>
        <v>58.827850645930795</v>
      </c>
      <c r="DZ5" s="7">
        <f t="shared" si="2"/>
        <v>58.791901518188396</v>
      </c>
      <c r="EA5" s="7">
        <f t="shared" si="2"/>
        <v>58.709126621141429</v>
      </c>
      <c r="EB5" s="7">
        <f t="shared" si="2"/>
        <v>58.831231354237168</v>
      </c>
      <c r="EC5" s="7">
        <f t="shared" si="2"/>
        <v>58.861148531852173</v>
      </c>
      <c r="ED5" s="7">
        <f t="shared" si="2"/>
        <v>58.836958074268637</v>
      </c>
      <c r="EE5" s="7">
        <f t="shared" si="2"/>
        <v>58.698709849712088</v>
      </c>
      <c r="EF5" s="7">
        <f t="shared" si="2"/>
        <v>58.608782163684268</v>
      </c>
      <c r="EG5" s="7">
        <f t="shared" si="2"/>
        <v>58.754220712404781</v>
      </c>
      <c r="EH5" s="7">
        <f t="shared" si="2"/>
        <v>59.03489937926053</v>
      </c>
      <c r="EI5" s="7">
        <f t="shared" si="2"/>
        <v>59.155382488418766</v>
      </c>
      <c r="EJ5" s="7">
        <f t="shared" si="2"/>
        <v>59.092231013507046</v>
      </c>
      <c r="EK5" s="7">
        <f t="shared" si="2"/>
        <v>59.125401704235983</v>
      </c>
      <c r="EL5" s="7">
        <f t="shared" si="2"/>
        <v>59.164625354098561</v>
      </c>
      <c r="EM5" s="7">
        <f t="shared" si="2"/>
        <v>59.26013200629184</v>
      </c>
      <c r="EN5" s="7">
        <f t="shared" si="2"/>
        <v>59.456959659763697</v>
      </c>
      <c r="EO5" s="7">
        <f t="shared" si="2"/>
        <v>59.530918882669596</v>
      </c>
      <c r="EP5" s="7">
        <f t="shared" si="2"/>
        <v>59.524269552114141</v>
      </c>
      <c r="EQ5" s="7">
        <f t="shared" si="2"/>
        <v>59.527504263599774</v>
      </c>
      <c r="ER5" s="7">
        <f t="shared" si="2"/>
        <v>59.62522447448513</v>
      </c>
      <c r="ES5" s="7">
        <f t="shared" si="2"/>
        <v>59.755978423345084</v>
      </c>
      <c r="ET5" s="7">
        <f t="shared" si="2"/>
        <v>60.093992130218062</v>
      </c>
      <c r="EU5" s="7">
        <f t="shared" si="2"/>
        <v>60.17326886368776</v>
      </c>
      <c r="EV5" s="7">
        <f t="shared" si="2"/>
        <v>60.37674602132595</v>
      </c>
      <c r="EW5" s="7">
        <f t="shared" si="2"/>
        <v>60.367039623738634</v>
      </c>
      <c r="EX5" s="7">
        <f t="shared" si="2"/>
        <v>60.441026711489009</v>
      </c>
      <c r="EY5" s="7">
        <f t="shared" si="2"/>
        <v>60.52047177865002</v>
      </c>
      <c r="EZ5" s="7">
        <f t="shared" si="2"/>
        <v>60.660782366610746</v>
      </c>
      <c r="FA5" s="7">
        <f t="shared" si="2"/>
        <v>60.773511023977015</v>
      </c>
      <c r="FB5" s="7">
        <f t="shared" si="2"/>
        <v>60.878428235099541</v>
      </c>
      <c r="FC5" s="7">
        <f t="shared" si="2"/>
        <v>61.12243585022749</v>
      </c>
      <c r="FD5" s="7">
        <f t="shared" si="2"/>
        <v>61.377183526049464</v>
      </c>
      <c r="FE5" s="7">
        <f t="shared" si="2"/>
        <v>61.568497953023552</v>
      </c>
      <c r="FF5" s="7">
        <f t="shared" si="2"/>
        <v>61.839744413120627</v>
      </c>
      <c r="FG5" s="7">
        <f t="shared" si="2"/>
        <v>62.040478892113427</v>
      </c>
      <c r="FH5" s="7">
        <f t="shared" si="2"/>
        <v>62.062898879115117</v>
      </c>
      <c r="FI5" s="7">
        <f t="shared" si="2"/>
        <v>62.072918978956501</v>
      </c>
      <c r="FJ5" s="7">
        <f t="shared" si="2"/>
        <v>62.119886552342251</v>
      </c>
      <c r="FK5" s="7">
        <f t="shared" si="2"/>
        <v>62.154940007974311</v>
      </c>
      <c r="FL5" s="7">
        <f t="shared" si="2"/>
        <v>62.40999382556496</v>
      </c>
      <c r="FM5" s="7">
        <f t="shared" si="2"/>
        <v>62.48406359738172</v>
      </c>
      <c r="FN5" s="7">
        <f t="shared" si="2"/>
        <v>62.573566187102728</v>
      </c>
      <c r="FO5" s="7">
        <f t="shared" si="2"/>
        <v>62.727028810265182</v>
      </c>
      <c r="FP5" s="7">
        <f t="shared" si="2"/>
        <v>62.922259193865081</v>
      </c>
      <c r="FQ5" s="7">
        <f t="shared" si="2"/>
        <v>63.023522207290114</v>
      </c>
      <c r="FR5" s="7">
        <f t="shared" si="2"/>
        <v>63.537347914524723</v>
      </c>
      <c r="FS5" s="7">
        <f t="shared" si="2"/>
        <v>63.706151639204315</v>
      </c>
      <c r="FT5" s="7">
        <f t="shared" si="2"/>
        <v>63.72177861079804</v>
      </c>
      <c r="FU5" s="7">
        <f t="shared" si="2"/>
        <v>63.847881478291619</v>
      </c>
      <c r="FV5" s="7">
        <f t="shared" si="2"/>
        <v>63.917150858972896</v>
      </c>
      <c r="FW5" s="7">
        <f t="shared" si="2"/>
        <v>64.030214385771259</v>
      </c>
      <c r="FX5" s="7">
        <f t="shared" si="2"/>
        <v>64.339878662491742</v>
      </c>
      <c r="FY5" s="7">
        <f t="shared" si="2"/>
        <v>64.59256690155496</v>
      </c>
      <c r="FZ5" s="7">
        <f t="shared" si="2"/>
        <v>64.718955022097461</v>
      </c>
      <c r="GA5" s="7">
        <f t="shared" si="2"/>
        <v>64.87437582281909</v>
      </c>
      <c r="GB5" s="7">
        <f t="shared" si="2"/>
        <v>65.082377249565894</v>
      </c>
      <c r="GC5" s="7">
        <f t="shared" si="2"/>
        <v>65.309300883719544</v>
      </c>
      <c r="GD5" s="7">
        <f t="shared" si="2"/>
        <v>66.004024039493146</v>
      </c>
      <c r="GE5" s="7">
        <f t="shared" si="2"/>
        <v>66.53468576335824</v>
      </c>
      <c r="GF5" s="7">
        <f t="shared" si="2"/>
        <v>66.738431650148144</v>
      </c>
      <c r="GG5" s="7">
        <f t="shared" si="2"/>
        <v>66.850854317378392</v>
      </c>
      <c r="GH5" s="7">
        <f t="shared" si="2"/>
        <v>66.915281284336274</v>
      </c>
      <c r="GI5" s="7">
        <f t="shared" si="2"/>
        <v>67.061585441796225</v>
      </c>
      <c r="GJ5" s="7">
        <f t="shared" si="2"/>
        <v>67.467210254918371</v>
      </c>
      <c r="GK5" s="7">
        <f t="shared" ref="GK5:IV5" si="3">+GL5*(1-GK4%)</f>
        <v>67.890633102709913</v>
      </c>
      <c r="GL5" s="7">
        <f t="shared" si="3"/>
        <v>68.07566925663771</v>
      </c>
      <c r="GM5" s="7">
        <f t="shared" si="3"/>
        <v>68.124139635124934</v>
      </c>
      <c r="GN5" s="7">
        <f t="shared" si="3"/>
        <v>68.495620808377723</v>
      </c>
      <c r="GO5" s="7">
        <f t="shared" si="3"/>
        <v>68.766506555110936</v>
      </c>
      <c r="GP5" s="7">
        <f t="shared" si="3"/>
        <v>69.507610593131176</v>
      </c>
      <c r="GQ5" s="7">
        <f t="shared" si="3"/>
        <v>69.993975996890285</v>
      </c>
      <c r="GR5" s="7">
        <f t="shared" si="3"/>
        <v>70.182601080000637</v>
      </c>
      <c r="GS5" s="7">
        <f t="shared" si="3"/>
        <v>70.328212274089495</v>
      </c>
      <c r="GT5" s="7">
        <f t="shared" si="3"/>
        <v>70.568434743612102</v>
      </c>
      <c r="GU5" s="7">
        <f t="shared" si="3"/>
        <v>70.869795183713563</v>
      </c>
      <c r="GV5" s="7">
        <f t="shared" si="3"/>
        <v>71.214089146377063</v>
      </c>
      <c r="GW5" s="7">
        <f t="shared" si="3"/>
        <v>71.533670981927855</v>
      </c>
      <c r="GX5" s="7">
        <f t="shared" si="3"/>
        <v>71.720235477832702</v>
      </c>
      <c r="GY5" s="7">
        <f t="shared" si="3"/>
        <v>71.822624276151302</v>
      </c>
      <c r="GZ5" s="7">
        <f t="shared" si="3"/>
        <v>72.11922352568439</v>
      </c>
      <c r="HA5" s="7">
        <f t="shared" si="3"/>
        <v>72.43622057803799</v>
      </c>
      <c r="HB5" s="7">
        <f t="shared" si="3"/>
        <v>73.009554953927065</v>
      </c>
      <c r="HC5" s="7">
        <f t="shared" si="3"/>
        <v>73.424374380232422</v>
      </c>
      <c r="HD5" s="7">
        <f t="shared" si="3"/>
        <v>73.527989140929236</v>
      </c>
      <c r="HE5" s="7">
        <f t="shared" si="3"/>
        <v>73.675724403422365</v>
      </c>
      <c r="HF5" s="7">
        <f t="shared" si="3"/>
        <v>73.86539902642204</v>
      </c>
      <c r="HG5" s="7">
        <f t="shared" si="3"/>
        <v>73.985503160663427</v>
      </c>
      <c r="HH5" s="7">
        <f t="shared" si="3"/>
        <v>74.037719635095399</v>
      </c>
      <c r="HI5" s="7">
        <f t="shared" si="3"/>
        <v>74.143079248401406</v>
      </c>
      <c r="HJ5" s="7">
        <f t="shared" si="3"/>
        <v>74.241835188922551</v>
      </c>
      <c r="HK5" s="7">
        <f t="shared" si="3"/>
        <v>74.246037156759726</v>
      </c>
      <c r="HL5" s="7">
        <f t="shared" si="3"/>
        <v>74.52028822904569</v>
      </c>
      <c r="HM5" s="7">
        <f t="shared" si="3"/>
        <v>74.759082476203687</v>
      </c>
      <c r="HN5" s="7">
        <f t="shared" si="3"/>
        <v>75.198511458519263</v>
      </c>
      <c r="HO5" s="7">
        <f t="shared" si="3"/>
        <v>75.559339930186511</v>
      </c>
      <c r="HP5" s="7">
        <f t="shared" si="3"/>
        <v>75.639453171852736</v>
      </c>
      <c r="HQ5" s="7">
        <f t="shared" si="3"/>
        <v>75.654846118677611</v>
      </c>
      <c r="HR5" s="7">
        <f t="shared" si="3"/>
        <v>75.732685542882862</v>
      </c>
      <c r="HS5" s="7">
        <f t="shared" si="3"/>
        <v>75.805541261601235</v>
      </c>
      <c r="HT5" s="7">
        <f t="shared" si="3"/>
        <v>75.785073433587996</v>
      </c>
      <c r="HU5" s="7">
        <f t="shared" si="3"/>
        <v>76.028048204398644</v>
      </c>
      <c r="HV5" s="7">
        <f t="shared" si="3"/>
        <v>75.937513489990522</v>
      </c>
      <c r="HW5" s="7">
        <f t="shared" si="3"/>
        <v>75.93762625964365</v>
      </c>
      <c r="HX5" s="7">
        <f t="shared" si="3"/>
        <v>76.227848201551552</v>
      </c>
      <c r="HY5" s="7">
        <f t="shared" si="3"/>
        <v>76.328452967071726</v>
      </c>
      <c r="HZ5" s="7">
        <f t="shared" si="3"/>
        <v>76.791497752132898</v>
      </c>
      <c r="IA5" s="7">
        <f t="shared" si="3"/>
        <v>76.981850668816548</v>
      </c>
      <c r="IB5" s="7">
        <f t="shared" si="3"/>
        <v>77.125039380336744</v>
      </c>
      <c r="IC5" s="7">
        <f t="shared" si="3"/>
        <v>77.249757901647754</v>
      </c>
      <c r="ID5" s="7">
        <f t="shared" si="3"/>
        <v>77.321915659761686</v>
      </c>
      <c r="IE5" s="7">
        <f t="shared" si="3"/>
        <v>77.367761574816171</v>
      </c>
      <c r="IF5" s="7">
        <f t="shared" si="3"/>
        <v>77.423089714287045</v>
      </c>
      <c r="IG5" s="7">
        <f t="shared" si="3"/>
        <v>77.593632893484681</v>
      </c>
      <c r="IH5" s="7">
        <f t="shared" si="3"/>
        <v>77.640907053570174</v>
      </c>
      <c r="II5" s="7">
        <f t="shared" si="3"/>
        <v>77.618494734172685</v>
      </c>
      <c r="IJ5" s="7">
        <f t="shared" si="3"/>
        <v>77.919988871834718</v>
      </c>
      <c r="IK5" s="7">
        <f t="shared" si="3"/>
        <v>78.100701465298783</v>
      </c>
      <c r="IL5" s="7">
        <f t="shared" si="3"/>
        <v>78.604419649251483</v>
      </c>
      <c r="IM5" s="7">
        <f t="shared" si="3"/>
        <v>78.826946460590776</v>
      </c>
      <c r="IN5" s="7">
        <f t="shared" si="3"/>
        <v>78.899244607788376</v>
      </c>
      <c r="IO5" s="7">
        <f t="shared" si="3"/>
        <v>78.943148173364818</v>
      </c>
      <c r="IP5" s="7">
        <f t="shared" si="3"/>
        <v>79.097255357137684</v>
      </c>
      <c r="IQ5" s="7">
        <f t="shared" si="3"/>
        <v>79.125098343799706</v>
      </c>
      <c r="IR5" s="7">
        <f t="shared" si="3"/>
        <v>79.20953999629559</v>
      </c>
      <c r="IS5" s="7">
        <f t="shared" si="3"/>
        <v>79.408006427046388</v>
      </c>
      <c r="IT5" s="7">
        <f t="shared" si="3"/>
        <v>79.447390851923402</v>
      </c>
      <c r="IU5" s="7">
        <f t="shared" si="3"/>
        <v>79.59346529078266</v>
      </c>
      <c r="IV5" s="7">
        <f t="shared" si="3"/>
        <v>79.730716789187724</v>
      </c>
      <c r="IW5" s="7">
        <f t="shared" ref="IW5:KN5" si="4">+IX5*(1-IW4%)</f>
        <v>80.089532572319456</v>
      </c>
      <c r="IX5" s="7">
        <f t="shared" si="4"/>
        <v>80.611514155182732</v>
      </c>
      <c r="IY5" s="7">
        <f t="shared" si="4"/>
        <v>80.961559663843431</v>
      </c>
      <c r="IZ5" s="7">
        <f t="shared" si="4"/>
        <v>80.976805657764061</v>
      </c>
      <c r="JA5" s="7">
        <f t="shared" si="4"/>
        <v>80.919986514274854</v>
      </c>
      <c r="JB5" s="7">
        <f t="shared" si="4"/>
        <v>81.081193794590362</v>
      </c>
      <c r="JC5" s="7">
        <f t="shared" si="4"/>
        <v>81.21597752923708</v>
      </c>
      <c r="JD5" s="7">
        <f t="shared" si="4"/>
        <v>81.508142919798374</v>
      </c>
      <c r="JE5" s="7">
        <f t="shared" si="4"/>
        <v>81.930853034359444</v>
      </c>
      <c r="JF5" s="7">
        <f t="shared" si="4"/>
        <v>81.93210565089872</v>
      </c>
      <c r="JG5" s="7">
        <f t="shared" si="4"/>
        <v>82.09775252105878</v>
      </c>
      <c r="JH5" s="7">
        <f t="shared" si="4"/>
        <v>82.504158490578774</v>
      </c>
      <c r="JI5" s="7">
        <f t="shared" si="4"/>
        <v>82.590529213917875</v>
      </c>
      <c r="JJ5" s="7">
        <f t="shared" si="4"/>
        <v>83.024695270910627</v>
      </c>
      <c r="JK5" s="7">
        <f t="shared" si="4"/>
        <v>83.477326111193292</v>
      </c>
      <c r="JL5" s="7">
        <f t="shared" si="4"/>
        <v>83.675260849445991</v>
      </c>
      <c r="JM5" s="7">
        <f t="shared" si="4"/>
        <v>83.586444899699998</v>
      </c>
      <c r="JN5" s="7">
        <f t="shared" si="4"/>
        <v>84.121883248932022</v>
      </c>
      <c r="JO5" s="7">
        <f t="shared" si="4"/>
        <v>84.3210025119904</v>
      </c>
      <c r="JP5" s="7">
        <f t="shared" si="4"/>
        <v>84.975330641530292</v>
      </c>
      <c r="JQ5" s="7">
        <f t="shared" si="4"/>
        <v>85.296355039052543</v>
      </c>
      <c r="JR5" s="7">
        <f t="shared" si="4"/>
        <v>85.856505385754971</v>
      </c>
      <c r="JS5" s="7">
        <f t="shared" si="4"/>
        <v>86.492185096368146</v>
      </c>
      <c r="JT5" s="7">
        <f t="shared" si="4"/>
        <v>87.429917744428934</v>
      </c>
      <c r="JU5" s="7">
        <f t="shared" si="4"/>
        <v>88.031395230443039</v>
      </c>
      <c r="JV5" s="7">
        <f t="shared" si="4"/>
        <v>89.27697000335948</v>
      </c>
      <c r="JW5" s="7">
        <f t="shared" si="4"/>
        <v>90.307144517228551</v>
      </c>
      <c r="JX5" s="7">
        <f t="shared" si="4"/>
        <v>91.096178917236912</v>
      </c>
      <c r="JY5" s="7">
        <f t="shared" si="4"/>
        <v>91.759427464648226</v>
      </c>
      <c r="JZ5" s="7">
        <f t="shared" si="4"/>
        <v>92.46599202061627</v>
      </c>
      <c r="KA5" s="7">
        <f t="shared" si="4"/>
        <v>93.255302040678671</v>
      </c>
      <c r="KB5" s="7">
        <f t="shared" si="4"/>
        <v>94.070949446667171</v>
      </c>
      <c r="KC5" s="7">
        <f t="shared" si="4"/>
        <v>94.242559387206043</v>
      </c>
      <c r="KD5" s="7">
        <f t="shared" si="4"/>
        <v>94.978379783277049</v>
      </c>
      <c r="KE5" s="7">
        <f t="shared" si="4"/>
        <v>95.255564982484799</v>
      </c>
      <c r="KF5" s="7">
        <f t="shared" si="4"/>
        <v>96.326316199359354</v>
      </c>
      <c r="KG5" s="7">
        <f t="shared" si="4"/>
        <v>96.949259529642163</v>
      </c>
      <c r="KH5" s="7">
        <f t="shared" si="4"/>
        <v>98.091079275097513</v>
      </c>
      <c r="KI5" s="7">
        <f t="shared" si="4"/>
        <v>98.753404296214995</v>
      </c>
      <c r="KJ5" s="7">
        <f t="shared" si="4"/>
        <v>99.206711143472589</v>
      </c>
      <c r="KK5" s="7">
        <f t="shared" si="4"/>
        <v>99.22622451634534</v>
      </c>
      <c r="KL5" s="7">
        <f t="shared" si="4"/>
        <v>99.441214030512526</v>
      </c>
      <c r="KM5" s="7">
        <f t="shared" si="4"/>
        <v>99.336393727461328</v>
      </c>
      <c r="KN5" s="7">
        <f t="shared" si="4"/>
        <v>99.527738936709824</v>
      </c>
      <c r="KO5" s="7">
        <f>+KP5*(1-KO4%)</f>
        <v>99.494536965000009</v>
      </c>
      <c r="KP5">
        <v>100</v>
      </c>
    </row>
    <row r="6" spans="1:330" x14ac:dyDescent="0.3">
      <c r="D6" s="9"/>
      <c r="KN6" s="7">
        <v>104</v>
      </c>
      <c r="KO6" t="s">
        <v>31</v>
      </c>
      <c r="KP6" s="8"/>
    </row>
    <row r="8" spans="1:330" x14ac:dyDescent="0.3">
      <c r="KE8">
        <f>1+KE4/100</f>
        <v>1.0111158742399999</v>
      </c>
      <c r="KF8">
        <f>1+KF4/100</f>
        <v>1.00642545733</v>
      </c>
      <c r="KG8">
        <f>1+KG4/100</f>
        <v>1.01164040353</v>
      </c>
      <c r="KH8">
        <f t="shared" ref="KG8:KP8" si="5">1+KH4/100</f>
        <v>1.00670685761</v>
      </c>
      <c r="KI8">
        <f t="shared" si="5"/>
        <v>1.00456931635</v>
      </c>
      <c r="KJ8">
        <f>1+KJ4/100</f>
        <v>1.0001966553999999</v>
      </c>
      <c r="KK8">
        <f t="shared" si="5"/>
        <v>1.00216197596</v>
      </c>
      <c r="KL8">
        <f t="shared" si="5"/>
        <v>0.99894479455999996</v>
      </c>
      <c r="KM8">
        <f t="shared" si="5"/>
        <v>1.00192253146</v>
      </c>
      <c r="KN8">
        <f t="shared" si="5"/>
        <v>0.99966629352000003</v>
      </c>
      <c r="KO8">
        <f t="shared" si="5"/>
        <v>1.0050546303500001</v>
      </c>
      <c r="KP8">
        <f t="shared" si="5"/>
        <v>0.99728169553000001</v>
      </c>
    </row>
    <row r="9" spans="1:330" x14ac:dyDescent="0.3">
      <c r="KE9">
        <v>1</v>
      </c>
      <c r="KF9">
        <f>+KE9*KF8</f>
        <v>1.00642545733</v>
      </c>
      <c r="KG9">
        <f>+KF9*KG8</f>
        <v>1.0181406557761858</v>
      </c>
      <c r="KH9">
        <f>+KG9*KH8</f>
        <v>1.0249691801814287</v>
      </c>
      <c r="KI9">
        <f>+KH9*KI8</f>
        <v>1.0296525886146779</v>
      </c>
      <c r="KJ9">
        <f t="shared" ref="KG9:KP9" si="6">+KI9*KJ8</f>
        <v>1.0298550753563529</v>
      </c>
      <c r="KK9">
        <f>+KJ9*KK8</f>
        <v>1.0320815972715573</v>
      </c>
      <c r="KL9">
        <f>+KK9*KL8</f>
        <v>1.0309925391555925</v>
      </c>
      <c r="KM9">
        <f>+KL9*KM8</f>
        <v>1.0329746547471443</v>
      </c>
      <c r="KN9">
        <f t="shared" si="6"/>
        <v>1.0326299444111795</v>
      </c>
      <c r="KO9">
        <f t="shared" si="6"/>
        <v>1.0378495070685192</v>
      </c>
      <c r="KP9">
        <f t="shared" si="6"/>
        <v>1.0350283161142675</v>
      </c>
    </row>
    <row r="11" spans="1:330" x14ac:dyDescent="0.3">
      <c r="KE11" t="s">
        <v>32</v>
      </c>
      <c r="KF11">
        <f>+SUM(KE9:KP9)</f>
        <v>12.310599516026905</v>
      </c>
    </row>
    <row r="13" spans="1:330" x14ac:dyDescent="0.3">
      <c r="KE13" t="s">
        <v>33</v>
      </c>
      <c r="KF13">
        <f>1200/KF11</f>
        <v>97.476974897749358</v>
      </c>
    </row>
    <row r="14" spans="1:330" x14ac:dyDescent="0.3">
      <c r="KQ14" s="11">
        <v>44927</v>
      </c>
    </row>
    <row r="15" spans="1:330" x14ac:dyDescent="0.3">
      <c r="KF15">
        <f>+$KF$13*KF8</f>
        <v>98.103309040612331</v>
      </c>
      <c r="KG15">
        <f>+KF15*KG8</f>
        <v>99.245271145473353</v>
      </c>
      <c r="KH15">
        <f t="shared" ref="KH15:KP15" si="7">+KG15*KH8</f>
        <v>99.910895047511886</v>
      </c>
      <c r="KI15">
        <f t="shared" si="7"/>
        <v>100.36741953379561</v>
      </c>
      <c r="KJ15">
        <f t="shared" si="7"/>
        <v>100.38715732883099</v>
      </c>
      <c r="KK15">
        <f t="shared" si="7"/>
        <v>100.60419194966866</v>
      </c>
      <c r="KL15">
        <f t="shared" si="7"/>
        <v>100.49803385903657</v>
      </c>
      <c r="KM15">
        <f t="shared" si="7"/>
        <v>100.69124449079871</v>
      </c>
      <c r="KN15">
        <f t="shared" si="7"/>
        <v>100.65764317003287</v>
      </c>
      <c r="KO15">
        <f t="shared" si="7"/>
        <v>101.16643034815959</v>
      </c>
      <c r="KP15">
        <f t="shared" si="7"/>
        <v>100.89142918833025</v>
      </c>
      <c r="KQ15">
        <f>+KF13</f>
        <v>97.476974897749358</v>
      </c>
    </row>
    <row r="16" spans="1:330" x14ac:dyDescent="0.3">
      <c r="KE16" t="s">
        <v>34</v>
      </c>
    </row>
    <row r="17" spans="1:330" x14ac:dyDescent="0.3">
      <c r="KE17" t="s">
        <v>35</v>
      </c>
      <c r="KF17" s="10">
        <f>+AVERAGE(KF15:KQ15)</f>
        <v>100.00000000000001</v>
      </c>
    </row>
    <row r="19" spans="1:330" x14ac:dyDescent="0.3">
      <c r="KE19" t="s">
        <v>36</v>
      </c>
    </row>
    <row r="20" spans="1:330" x14ac:dyDescent="0.3">
      <c r="C20">
        <f>+LN(C22/D22)</f>
        <v>-1.6198201405786962E-3</v>
      </c>
      <c r="D20">
        <f t="shared" ref="D20:H20" si="8">+LN(D22/E22)</f>
        <v>-3.4859768732438288E-3</v>
      </c>
      <c r="E20">
        <f t="shared" si="8"/>
        <v>-9.539237829785302E-3</v>
      </c>
      <c r="F20">
        <f t="shared" si="8"/>
        <v>-3.7064686863973102E-3</v>
      </c>
      <c r="G20">
        <f t="shared" si="8"/>
        <v>-4.1658702032443278E-4</v>
      </c>
      <c r="H20">
        <f>+LN(H22/I22)</f>
        <v>-1.742617516315881E-3</v>
      </c>
    </row>
    <row r="21" spans="1:330" ht="15.6" x14ac:dyDescent="0.3">
      <c r="A21" s="2" t="s">
        <v>2</v>
      </c>
      <c r="B21" s="2" t="s">
        <v>3</v>
      </c>
      <c r="C21" s="4">
        <v>36161</v>
      </c>
      <c r="D21" s="4">
        <v>36192</v>
      </c>
      <c r="E21" s="4">
        <v>36220</v>
      </c>
      <c r="F21" s="4">
        <v>36251</v>
      </c>
      <c r="G21" s="4">
        <v>36281</v>
      </c>
      <c r="H21" s="4">
        <v>36312</v>
      </c>
      <c r="I21" s="4">
        <v>36342</v>
      </c>
      <c r="J21" s="4">
        <v>36373</v>
      </c>
      <c r="K21" s="4">
        <v>36404</v>
      </c>
      <c r="L21" s="4">
        <v>36434</v>
      </c>
      <c r="M21" s="4">
        <v>36465</v>
      </c>
      <c r="N21" s="4">
        <v>36495</v>
      </c>
      <c r="O21" s="4">
        <v>36526</v>
      </c>
      <c r="P21" s="4">
        <v>36557</v>
      </c>
      <c r="Q21" s="4">
        <v>36586</v>
      </c>
      <c r="R21" s="4">
        <v>36617</v>
      </c>
      <c r="S21" s="4">
        <v>36647</v>
      </c>
      <c r="T21" s="4">
        <v>36678</v>
      </c>
      <c r="U21" s="4">
        <v>36708</v>
      </c>
      <c r="V21" s="4">
        <v>36739</v>
      </c>
      <c r="W21" s="4">
        <v>36770</v>
      </c>
      <c r="X21" s="4">
        <v>36800</v>
      </c>
      <c r="Y21" s="4">
        <v>36831</v>
      </c>
      <c r="Z21" s="4">
        <v>36861</v>
      </c>
      <c r="AA21" s="4">
        <v>36892</v>
      </c>
      <c r="AB21" s="4">
        <v>36923</v>
      </c>
      <c r="AC21" s="4">
        <v>36951</v>
      </c>
      <c r="AD21" s="4">
        <v>36982</v>
      </c>
      <c r="AE21" s="4">
        <v>37012</v>
      </c>
      <c r="AF21" s="4">
        <v>37043</v>
      </c>
      <c r="AG21" s="4">
        <v>37073</v>
      </c>
      <c r="AH21" s="4">
        <v>37104</v>
      </c>
      <c r="AI21" s="4">
        <v>37135</v>
      </c>
      <c r="AJ21" s="4">
        <v>37165</v>
      </c>
      <c r="AK21" s="4">
        <v>37196</v>
      </c>
      <c r="AL21" s="4">
        <v>37226</v>
      </c>
      <c r="AM21" s="4">
        <v>37257</v>
      </c>
      <c r="AN21" s="4">
        <v>37288</v>
      </c>
      <c r="AO21" s="4">
        <v>37316</v>
      </c>
      <c r="AP21" s="4">
        <v>37347</v>
      </c>
      <c r="AQ21" s="4">
        <v>37377</v>
      </c>
      <c r="AR21" s="4">
        <v>37408</v>
      </c>
      <c r="AS21" s="4">
        <v>37438</v>
      </c>
      <c r="AT21" s="4">
        <v>37469</v>
      </c>
      <c r="AU21" s="4">
        <v>37500</v>
      </c>
      <c r="AV21" s="4">
        <v>37530</v>
      </c>
      <c r="AW21" s="4">
        <v>37561</v>
      </c>
      <c r="AX21" s="4">
        <v>37591</v>
      </c>
      <c r="AY21" s="4">
        <v>37622</v>
      </c>
      <c r="AZ21" s="4">
        <v>37653</v>
      </c>
      <c r="BA21" s="4">
        <v>37681</v>
      </c>
      <c r="BB21" s="4">
        <v>37712</v>
      </c>
      <c r="BC21" s="4">
        <v>37742</v>
      </c>
      <c r="BD21" s="4">
        <v>37773</v>
      </c>
      <c r="BE21" s="4">
        <v>37803</v>
      </c>
      <c r="BF21" s="4">
        <v>37834</v>
      </c>
      <c r="BG21" s="4">
        <v>37865</v>
      </c>
      <c r="BH21" s="4">
        <v>37895</v>
      </c>
      <c r="BI21" s="4">
        <v>37926</v>
      </c>
      <c r="BJ21" s="4">
        <v>37956</v>
      </c>
      <c r="BK21" s="4">
        <v>37987</v>
      </c>
      <c r="BL21" s="4">
        <v>38018</v>
      </c>
      <c r="BM21" s="4">
        <v>38047</v>
      </c>
      <c r="BN21" s="4">
        <v>38078</v>
      </c>
      <c r="BO21" s="4">
        <v>38108</v>
      </c>
      <c r="BP21" s="4">
        <v>38139</v>
      </c>
      <c r="BQ21" s="4">
        <v>38169</v>
      </c>
      <c r="BR21" s="4">
        <v>38200</v>
      </c>
      <c r="BS21" s="4">
        <v>38231</v>
      </c>
      <c r="BT21" s="4">
        <v>38261</v>
      </c>
      <c r="BU21" s="4">
        <v>38292</v>
      </c>
      <c r="BV21" s="4">
        <v>38322</v>
      </c>
      <c r="BW21" s="4">
        <v>38353</v>
      </c>
      <c r="BX21" s="4">
        <v>38384</v>
      </c>
      <c r="BY21" s="4">
        <v>38412</v>
      </c>
      <c r="BZ21" s="4">
        <v>38443</v>
      </c>
      <c r="CA21" s="4">
        <v>38473</v>
      </c>
      <c r="CB21" s="4">
        <v>38504</v>
      </c>
      <c r="CC21" s="4">
        <v>38534</v>
      </c>
      <c r="CD21" s="4">
        <v>38565</v>
      </c>
      <c r="CE21" s="4">
        <v>38596</v>
      </c>
      <c r="CF21" s="4">
        <v>38626</v>
      </c>
      <c r="CG21" s="4">
        <v>38657</v>
      </c>
      <c r="CH21" s="4">
        <v>38687</v>
      </c>
      <c r="CI21" s="4">
        <v>38718</v>
      </c>
      <c r="CJ21" s="4">
        <v>38749</v>
      </c>
      <c r="CK21" s="4">
        <v>38777</v>
      </c>
      <c r="CL21" s="4">
        <v>38808</v>
      </c>
      <c r="CM21" s="4">
        <v>38838</v>
      </c>
      <c r="CN21" s="4">
        <v>38869</v>
      </c>
      <c r="CO21" s="4">
        <v>38899</v>
      </c>
      <c r="CP21" s="4">
        <v>38930</v>
      </c>
      <c r="CQ21" s="4">
        <v>38961</v>
      </c>
      <c r="CR21" s="4">
        <v>38991</v>
      </c>
      <c r="CS21" s="4">
        <v>39022</v>
      </c>
      <c r="CT21" s="4">
        <v>39052</v>
      </c>
      <c r="CU21" s="4">
        <v>39083</v>
      </c>
      <c r="CV21" s="4">
        <v>39114</v>
      </c>
      <c r="CW21" s="4">
        <v>39142</v>
      </c>
      <c r="CX21" s="4">
        <v>39173</v>
      </c>
      <c r="CY21" s="4">
        <v>39203</v>
      </c>
      <c r="CZ21" s="4">
        <v>39234</v>
      </c>
      <c r="DA21" s="4">
        <v>39264</v>
      </c>
      <c r="DB21" s="4">
        <v>39295</v>
      </c>
      <c r="DC21" s="4">
        <v>39326</v>
      </c>
      <c r="DD21" s="4">
        <v>39356</v>
      </c>
      <c r="DE21" s="4">
        <v>39387</v>
      </c>
      <c r="DF21" s="4">
        <v>39417</v>
      </c>
      <c r="DG21" s="4">
        <v>39448</v>
      </c>
      <c r="DH21" s="4">
        <v>39479</v>
      </c>
      <c r="DI21" s="4">
        <v>39508</v>
      </c>
      <c r="DJ21" s="4">
        <v>39539</v>
      </c>
      <c r="DK21" s="4">
        <v>39569</v>
      </c>
      <c r="DL21" s="4">
        <v>39600</v>
      </c>
      <c r="DM21" s="4">
        <v>39630</v>
      </c>
      <c r="DN21" s="4">
        <v>39661</v>
      </c>
      <c r="DO21" s="4">
        <v>39692</v>
      </c>
      <c r="DP21" s="4">
        <v>39722</v>
      </c>
      <c r="DQ21" s="4">
        <v>39753</v>
      </c>
      <c r="DR21" s="4">
        <v>39783</v>
      </c>
      <c r="DS21" s="4">
        <v>39814</v>
      </c>
      <c r="DT21" s="4">
        <v>39845</v>
      </c>
      <c r="DU21" s="4">
        <v>39873</v>
      </c>
      <c r="DV21" s="4">
        <v>39904</v>
      </c>
      <c r="DW21" s="4">
        <v>39934</v>
      </c>
      <c r="DX21" s="4">
        <v>39965</v>
      </c>
      <c r="DY21" s="4">
        <v>39995</v>
      </c>
      <c r="DZ21" s="4">
        <v>40026</v>
      </c>
      <c r="EA21" s="4">
        <v>40057</v>
      </c>
      <c r="EB21" s="4">
        <v>40087</v>
      </c>
      <c r="EC21" s="4">
        <v>40118</v>
      </c>
      <c r="ED21" s="4">
        <v>40148</v>
      </c>
      <c r="EE21" s="4">
        <v>40179</v>
      </c>
      <c r="EF21" s="4">
        <v>40210</v>
      </c>
      <c r="EG21" s="4">
        <v>40238</v>
      </c>
      <c r="EH21" s="4">
        <v>40269</v>
      </c>
      <c r="EI21" s="4">
        <v>40299</v>
      </c>
      <c r="EJ21" s="4">
        <v>40330</v>
      </c>
      <c r="EK21" s="4">
        <v>40360</v>
      </c>
      <c r="EL21" s="4">
        <v>40391</v>
      </c>
      <c r="EM21" s="4">
        <v>40422</v>
      </c>
      <c r="EN21" s="4">
        <v>40452</v>
      </c>
      <c r="EO21" s="4">
        <v>40483</v>
      </c>
      <c r="EP21" s="4">
        <v>40513</v>
      </c>
      <c r="EQ21" s="4">
        <v>40544</v>
      </c>
      <c r="ER21" s="4">
        <v>40575</v>
      </c>
      <c r="ES21" s="4">
        <v>40603</v>
      </c>
      <c r="ET21" s="4">
        <v>40634</v>
      </c>
      <c r="EU21" s="4">
        <v>40664</v>
      </c>
      <c r="EV21" s="4">
        <v>40695</v>
      </c>
      <c r="EW21" s="4">
        <v>40725</v>
      </c>
      <c r="EX21" s="4">
        <v>40756</v>
      </c>
      <c r="EY21" s="4">
        <v>40787</v>
      </c>
      <c r="EZ21" s="4">
        <v>40817</v>
      </c>
      <c r="FA21" s="4">
        <v>40848</v>
      </c>
      <c r="FB21" s="4">
        <v>40878</v>
      </c>
      <c r="FC21" s="4">
        <v>40909</v>
      </c>
      <c r="FD21" s="4">
        <v>40940</v>
      </c>
      <c r="FE21" s="4">
        <v>40969</v>
      </c>
      <c r="FF21" s="4">
        <v>41000</v>
      </c>
      <c r="FG21" s="4">
        <v>41030</v>
      </c>
      <c r="FH21" s="4">
        <v>41061</v>
      </c>
      <c r="FI21" s="4">
        <v>41091</v>
      </c>
      <c r="FJ21" s="4">
        <v>41122</v>
      </c>
      <c r="FK21" s="4">
        <v>41153</v>
      </c>
      <c r="FL21" s="4">
        <v>41183</v>
      </c>
      <c r="FM21" s="4">
        <v>41214</v>
      </c>
      <c r="FN21" s="4">
        <v>41244</v>
      </c>
      <c r="FO21" s="4">
        <v>41275</v>
      </c>
      <c r="FP21" s="4">
        <v>41306</v>
      </c>
      <c r="FQ21" s="4">
        <v>41334</v>
      </c>
      <c r="FR21" s="4">
        <v>41365</v>
      </c>
      <c r="FS21" s="4">
        <v>41395</v>
      </c>
      <c r="FT21" s="4">
        <v>41426</v>
      </c>
      <c r="FU21" s="4">
        <v>41456</v>
      </c>
      <c r="FV21" s="4">
        <v>41487</v>
      </c>
      <c r="FW21" s="4">
        <v>41518</v>
      </c>
      <c r="FX21" s="4">
        <v>41548</v>
      </c>
      <c r="FY21" s="4">
        <v>41579</v>
      </c>
      <c r="FZ21" s="4">
        <v>41609</v>
      </c>
      <c r="GA21" s="4">
        <v>41640</v>
      </c>
      <c r="GB21" s="4">
        <v>41671</v>
      </c>
      <c r="GC21" s="4">
        <v>41699</v>
      </c>
      <c r="GD21" s="4">
        <v>41730</v>
      </c>
      <c r="GE21" s="4">
        <v>41760</v>
      </c>
      <c r="GF21" s="4">
        <v>41791</v>
      </c>
      <c r="GG21" s="4">
        <v>41821</v>
      </c>
      <c r="GH21" s="4">
        <v>41852</v>
      </c>
      <c r="GI21" s="4">
        <v>41883</v>
      </c>
      <c r="GJ21" s="4">
        <v>41913</v>
      </c>
      <c r="GK21" s="4">
        <v>41944</v>
      </c>
      <c r="GL21" s="4">
        <v>41974</v>
      </c>
      <c r="GM21" s="4">
        <v>42005</v>
      </c>
      <c r="GN21" s="4">
        <v>42036</v>
      </c>
      <c r="GO21" s="4">
        <v>42064</v>
      </c>
      <c r="GP21" s="4">
        <v>42095</v>
      </c>
      <c r="GQ21" s="4">
        <v>42125</v>
      </c>
      <c r="GR21" s="4">
        <v>42156</v>
      </c>
      <c r="GS21" s="4">
        <v>42186</v>
      </c>
      <c r="GT21" s="4">
        <v>42217</v>
      </c>
      <c r="GU21" s="4">
        <v>42248</v>
      </c>
      <c r="GV21" s="4">
        <v>42278</v>
      </c>
      <c r="GW21" s="4">
        <v>42309</v>
      </c>
      <c r="GX21" s="4">
        <v>42339</v>
      </c>
      <c r="GY21" s="4">
        <v>42370</v>
      </c>
      <c r="GZ21" s="4">
        <v>42401</v>
      </c>
      <c r="HA21" s="4">
        <v>42430</v>
      </c>
      <c r="HB21" s="4">
        <v>42461</v>
      </c>
      <c r="HC21" s="4">
        <v>42491</v>
      </c>
      <c r="HD21" s="4">
        <v>42522</v>
      </c>
      <c r="HE21" s="4">
        <v>42552</v>
      </c>
      <c r="HF21" s="4">
        <v>42583</v>
      </c>
      <c r="HG21" s="4">
        <v>42614</v>
      </c>
      <c r="HH21" s="4">
        <v>42644</v>
      </c>
      <c r="HI21" s="4">
        <v>42675</v>
      </c>
      <c r="HJ21" s="4">
        <v>42705</v>
      </c>
      <c r="HK21" s="4">
        <v>42736</v>
      </c>
      <c r="HL21" s="4">
        <v>42767</v>
      </c>
      <c r="HM21" s="4">
        <v>42795</v>
      </c>
      <c r="HN21" s="4">
        <v>42826</v>
      </c>
      <c r="HO21" s="4">
        <v>42856</v>
      </c>
      <c r="HP21" s="4">
        <v>42887</v>
      </c>
      <c r="HQ21" s="4">
        <v>42917</v>
      </c>
      <c r="HR21" s="4">
        <v>42948</v>
      </c>
      <c r="HS21" s="4">
        <v>42979</v>
      </c>
      <c r="HT21" s="4">
        <v>43009</v>
      </c>
      <c r="HU21" s="4">
        <v>43040</v>
      </c>
      <c r="HV21" s="4">
        <v>43070</v>
      </c>
      <c r="HW21" s="4">
        <v>43101</v>
      </c>
      <c r="HX21" s="4">
        <v>43132</v>
      </c>
      <c r="HY21" s="4">
        <v>43160</v>
      </c>
      <c r="HZ21" s="4">
        <v>43191</v>
      </c>
      <c r="IA21" s="4">
        <v>43221</v>
      </c>
      <c r="IB21" s="4">
        <v>43252</v>
      </c>
      <c r="IC21" s="4">
        <v>43282</v>
      </c>
      <c r="ID21" s="4">
        <v>43313</v>
      </c>
      <c r="IE21" s="4">
        <v>43344</v>
      </c>
      <c r="IF21" s="4">
        <v>43374</v>
      </c>
      <c r="IG21" s="4">
        <v>43405</v>
      </c>
      <c r="IH21" s="4">
        <v>43435</v>
      </c>
      <c r="II21" s="4">
        <v>43466</v>
      </c>
      <c r="IJ21" s="4">
        <v>43497</v>
      </c>
      <c r="IK21" s="4">
        <v>43525</v>
      </c>
      <c r="IL21" s="4">
        <v>43556</v>
      </c>
      <c r="IM21" s="4">
        <v>43586</v>
      </c>
      <c r="IN21" s="4">
        <v>43617</v>
      </c>
      <c r="IO21" s="4">
        <v>43647</v>
      </c>
      <c r="IP21" s="4">
        <v>43678</v>
      </c>
      <c r="IQ21" s="4">
        <v>43709</v>
      </c>
      <c r="IR21" s="4">
        <v>43739</v>
      </c>
      <c r="IS21" s="4">
        <v>43770</v>
      </c>
      <c r="IT21" s="4">
        <v>43800</v>
      </c>
      <c r="IU21" s="4">
        <v>43831</v>
      </c>
      <c r="IV21" s="4">
        <v>43862</v>
      </c>
      <c r="IW21" s="4">
        <v>43891</v>
      </c>
      <c r="IX21" s="4">
        <v>43922</v>
      </c>
      <c r="IY21" s="4">
        <v>43952</v>
      </c>
      <c r="IZ21" s="4">
        <v>43983</v>
      </c>
      <c r="JA21" s="4">
        <v>44013</v>
      </c>
      <c r="JB21" s="4">
        <v>44044</v>
      </c>
      <c r="JC21" s="4">
        <v>44075</v>
      </c>
      <c r="JD21" s="4">
        <v>44105</v>
      </c>
      <c r="JE21" s="4">
        <v>44136</v>
      </c>
      <c r="JF21" s="4">
        <v>44166</v>
      </c>
      <c r="JG21" s="4">
        <v>44197</v>
      </c>
      <c r="JH21" s="4">
        <v>44228</v>
      </c>
      <c r="JI21" s="4">
        <v>44256</v>
      </c>
      <c r="JJ21" s="4">
        <v>44287</v>
      </c>
      <c r="JK21" s="4">
        <v>44317</v>
      </c>
      <c r="JL21" s="4">
        <v>44348</v>
      </c>
      <c r="JM21" s="4">
        <v>44378</v>
      </c>
      <c r="JN21" s="4">
        <v>44409</v>
      </c>
      <c r="JO21" s="4">
        <v>44440</v>
      </c>
      <c r="JP21" s="4">
        <v>44470</v>
      </c>
      <c r="JQ21" s="4">
        <v>44501</v>
      </c>
      <c r="JR21" s="4">
        <v>44531</v>
      </c>
      <c r="JS21" s="4">
        <v>44562</v>
      </c>
      <c r="JT21" s="4">
        <v>44593</v>
      </c>
      <c r="JU21" s="4">
        <v>44621</v>
      </c>
      <c r="JV21" s="4">
        <v>44652</v>
      </c>
      <c r="JW21" s="4">
        <v>44682</v>
      </c>
      <c r="JX21" s="4">
        <v>44713</v>
      </c>
      <c r="JY21" s="4">
        <v>44743</v>
      </c>
      <c r="JZ21" s="4">
        <v>44774</v>
      </c>
      <c r="KA21" s="4">
        <v>44805</v>
      </c>
      <c r="KB21" s="4">
        <v>44835</v>
      </c>
      <c r="KC21" s="4">
        <v>44866</v>
      </c>
      <c r="KD21" s="4">
        <v>44896</v>
      </c>
      <c r="KE21" s="4">
        <v>44927</v>
      </c>
      <c r="KF21" s="4">
        <v>44958</v>
      </c>
      <c r="KG21" s="4">
        <v>44986</v>
      </c>
      <c r="KH21" s="4">
        <v>45017</v>
      </c>
      <c r="KI21" s="4">
        <v>45047</v>
      </c>
      <c r="KJ21" s="4">
        <v>45078</v>
      </c>
      <c r="KK21" s="4">
        <v>45108</v>
      </c>
      <c r="KL21" s="4">
        <v>45139</v>
      </c>
      <c r="KM21" s="4">
        <v>45170</v>
      </c>
      <c r="KN21" s="4">
        <v>45200</v>
      </c>
      <c r="KO21" s="4">
        <v>45231</v>
      </c>
      <c r="KP21" s="4">
        <v>45261</v>
      </c>
      <c r="KQ21" s="4">
        <v>45292</v>
      </c>
      <c r="KR21" s="4">
        <v>45323</v>
      </c>
      <c r="KS21" s="4">
        <v>45352</v>
      </c>
      <c r="KT21" s="4">
        <v>45383</v>
      </c>
      <c r="KU21" s="4">
        <v>45413</v>
      </c>
      <c r="KV21" s="4">
        <v>45444</v>
      </c>
      <c r="KW21" s="4">
        <v>45474</v>
      </c>
      <c r="KX21" s="4">
        <v>45505</v>
      </c>
      <c r="KY21" s="4">
        <v>45536</v>
      </c>
      <c r="KZ21" s="4">
        <v>45566</v>
      </c>
      <c r="LA21" s="4">
        <v>45597</v>
      </c>
      <c r="LB21" s="4">
        <v>45627</v>
      </c>
      <c r="LC21" s="4">
        <v>45658</v>
      </c>
      <c r="LD21" s="4">
        <v>45689</v>
      </c>
      <c r="LE21" s="4">
        <v>45717</v>
      </c>
      <c r="LF21" s="4">
        <v>45748</v>
      </c>
      <c r="LG21" s="4">
        <v>45778</v>
      </c>
      <c r="LH21" s="4">
        <v>45809</v>
      </c>
      <c r="LI21" s="4">
        <v>45839</v>
      </c>
      <c r="LJ21" s="4">
        <v>45870</v>
      </c>
      <c r="LK21" s="4">
        <v>45901</v>
      </c>
      <c r="LL21" s="4">
        <v>45931</v>
      </c>
      <c r="LM21" s="4">
        <v>45962</v>
      </c>
      <c r="LN21" s="4">
        <v>45992</v>
      </c>
      <c r="LO21" s="4">
        <v>46023</v>
      </c>
      <c r="LP21" s="4">
        <v>46054</v>
      </c>
      <c r="LQ21" s="4">
        <v>46082</v>
      </c>
      <c r="LR21" s="4">
        <v>46113</v>
      </c>
    </row>
    <row r="22" spans="1:330" x14ac:dyDescent="0.3">
      <c r="C22">
        <f t="shared" ref="C22:BN22" si="9">+D22*(1-C4/100)</f>
        <v>42.434392048821174</v>
      </c>
      <c r="D22">
        <f>+E22*(1-D4/100)</f>
        <v>42.503183831831457</v>
      </c>
      <c r="E22">
        <f>+F22*(1-E4/100)</f>
        <v>42.651607498138446</v>
      </c>
      <c r="F22">
        <f>+G22*(1-F4/100)</f>
        <v>43.060418096606782</v>
      </c>
      <c r="G22">
        <f>+H22*(1-G4/100)</f>
        <v>43.220316333753935</v>
      </c>
      <c r="H22">
        <f>+I22*(1-H4/100)</f>
        <v>43.238325107403128</v>
      </c>
      <c r="I22">
        <f t="shared" si="9"/>
        <v>43.313738659515764</v>
      </c>
      <c r="J22">
        <f t="shared" si="9"/>
        <v>43.282367483999444</v>
      </c>
      <c r="K22">
        <f t="shared" si="9"/>
        <v>43.336123585655521</v>
      </c>
      <c r="L22">
        <f t="shared" si="9"/>
        <v>43.333382052873226</v>
      </c>
      <c r="M22">
        <f t="shared" si="9"/>
        <v>43.353806134125072</v>
      </c>
      <c r="N22">
        <f t="shared" si="9"/>
        <v>43.379001396880774</v>
      </c>
      <c r="O22">
        <f t="shared" si="9"/>
        <v>43.431135339123642</v>
      </c>
      <c r="P22">
        <f t="shared" si="9"/>
        <v>43.542921847505482</v>
      </c>
      <c r="Q22">
        <f t="shared" si="9"/>
        <v>43.77563004346635</v>
      </c>
      <c r="R22">
        <f t="shared" si="9"/>
        <v>44.277813575102691</v>
      </c>
      <c r="S22">
        <f t="shared" si="9"/>
        <v>44.444254597916796</v>
      </c>
      <c r="T22">
        <f t="shared" si="9"/>
        <v>44.504276592738726</v>
      </c>
      <c r="U22">
        <f t="shared" si="9"/>
        <v>44.64835615627463</v>
      </c>
      <c r="V22">
        <f t="shared" si="9"/>
        <v>44.671185604668736</v>
      </c>
      <c r="W22">
        <f t="shared" si="9"/>
        <v>44.706489290117759</v>
      </c>
      <c r="X22">
        <f t="shared" si="9"/>
        <v>44.781347432618134</v>
      </c>
      <c r="Y22">
        <f t="shared" si="9"/>
        <v>44.860464452640052</v>
      </c>
      <c r="Z22">
        <f t="shared" si="9"/>
        <v>44.999988043267905</v>
      </c>
      <c r="AA22">
        <f t="shared" si="9"/>
        <v>45.096618322055996</v>
      </c>
      <c r="AB22">
        <f t="shared" si="9"/>
        <v>45.177503170034534</v>
      </c>
      <c r="AC22">
        <f t="shared" si="9"/>
        <v>45.195967198735502</v>
      </c>
      <c r="AD22">
        <f t="shared" si="9"/>
        <v>45.636975762991909</v>
      </c>
      <c r="AE22">
        <f t="shared" si="9"/>
        <v>45.71161723014157</v>
      </c>
      <c r="AF22">
        <f t="shared" si="9"/>
        <v>45.737205090191239</v>
      </c>
      <c r="AG22">
        <f t="shared" si="9"/>
        <v>45.841900259146648</v>
      </c>
      <c r="AH22">
        <f t="shared" si="9"/>
        <v>45.918987396134263</v>
      </c>
      <c r="AI22">
        <f t="shared" si="9"/>
        <v>46.130193010511924</v>
      </c>
      <c r="AJ22">
        <f t="shared" si="9"/>
        <v>46.270585194382498</v>
      </c>
      <c r="AK22">
        <f t="shared" si="9"/>
        <v>46.488687244358452</v>
      </c>
      <c r="AL22">
        <f t="shared" si="9"/>
        <v>46.597992066745192</v>
      </c>
      <c r="AM22">
        <f t="shared" si="9"/>
        <v>46.647893438036142</v>
      </c>
      <c r="AN22">
        <f t="shared" si="9"/>
        <v>46.71398315001619</v>
      </c>
      <c r="AO22">
        <f t="shared" si="9"/>
        <v>46.932579765712532</v>
      </c>
      <c r="AP22">
        <f t="shared" si="9"/>
        <v>47.275998537095489</v>
      </c>
      <c r="AQ22">
        <f t="shared" si="9"/>
        <v>47.351005380148166</v>
      </c>
      <c r="AR22">
        <f t="shared" si="9"/>
        <v>47.423241479747112</v>
      </c>
      <c r="AS22">
        <f t="shared" si="9"/>
        <v>47.41332715011098</v>
      </c>
      <c r="AT22">
        <f t="shared" si="9"/>
        <v>47.403548587306503</v>
      </c>
      <c r="AU22">
        <f t="shared" si="9"/>
        <v>47.52032620020848</v>
      </c>
      <c r="AV22">
        <f t="shared" si="9"/>
        <v>47.669354566845165</v>
      </c>
      <c r="AW22">
        <f t="shared" si="9"/>
        <v>47.839815881794614</v>
      </c>
      <c r="AX22">
        <f t="shared" si="9"/>
        <v>47.921825475502331</v>
      </c>
      <c r="AY22">
        <f t="shared" si="9"/>
        <v>47.988428941391639</v>
      </c>
      <c r="AZ22">
        <f t="shared" si="9"/>
        <v>47.968870827297621</v>
      </c>
      <c r="BA22">
        <f t="shared" si="9"/>
        <v>48.156728914038858</v>
      </c>
      <c r="BB22">
        <f t="shared" si="9"/>
        <v>48.59250858160253</v>
      </c>
      <c r="BC22">
        <f t="shared" si="9"/>
        <v>48.747757314855114</v>
      </c>
      <c r="BD22">
        <f t="shared" si="9"/>
        <v>48.794619464403105</v>
      </c>
      <c r="BE22">
        <f t="shared" si="9"/>
        <v>48.801619996277566</v>
      </c>
      <c r="BF22">
        <f t="shared" si="9"/>
        <v>48.750862477611619</v>
      </c>
      <c r="BG22">
        <f t="shared" si="9"/>
        <v>48.715677731363051</v>
      </c>
      <c r="BH22">
        <f t="shared" si="9"/>
        <v>48.82090005172396</v>
      </c>
      <c r="BI22">
        <f t="shared" si="9"/>
        <v>49.031137774550324</v>
      </c>
      <c r="BJ22">
        <f t="shared" si="9"/>
        <v>49.016364089972718</v>
      </c>
      <c r="BK22">
        <f t="shared" si="9"/>
        <v>49.031475667752936</v>
      </c>
      <c r="BL22">
        <f t="shared" si="9"/>
        <v>48.998302271218883</v>
      </c>
      <c r="BM22">
        <f t="shared" si="9"/>
        <v>49.011195113565719</v>
      </c>
      <c r="BN22">
        <f t="shared" si="9"/>
        <v>49.287845663518752</v>
      </c>
      <c r="BO22">
        <f t="shared" ref="BO22:DZ22" si="10">+BP22*(1-BO4/100)</f>
        <v>49.330881523006049</v>
      </c>
      <c r="BP22">
        <f t="shared" si="10"/>
        <v>49.32550677803858</v>
      </c>
      <c r="BQ22">
        <f t="shared" si="10"/>
        <v>49.390555538917774</v>
      </c>
      <c r="BR22">
        <f t="shared" si="10"/>
        <v>49.484631495318837</v>
      </c>
      <c r="BS22">
        <f t="shared" si="10"/>
        <v>49.504382639054</v>
      </c>
      <c r="BT22">
        <f t="shared" si="10"/>
        <v>49.551765707317841</v>
      </c>
      <c r="BU22">
        <f t="shared" si="10"/>
        <v>49.522646741159157</v>
      </c>
      <c r="BV22">
        <f t="shared" si="10"/>
        <v>49.527958537944016</v>
      </c>
      <c r="BW22">
        <f t="shared" si="10"/>
        <v>49.579970360733171</v>
      </c>
      <c r="BX22">
        <f t="shared" si="10"/>
        <v>49.598605300227561</v>
      </c>
      <c r="BY22">
        <f t="shared" si="10"/>
        <v>49.707965306317249</v>
      </c>
      <c r="BZ22">
        <f t="shared" si="10"/>
        <v>50.062892866185123</v>
      </c>
      <c r="CA22">
        <f t="shared" si="10"/>
        <v>50.219424258443162</v>
      </c>
      <c r="CB22">
        <f t="shared" si="10"/>
        <v>50.326222300752697</v>
      </c>
      <c r="CC22">
        <f t="shared" si="10"/>
        <v>50.44072606742111</v>
      </c>
      <c r="CD22">
        <f t="shared" si="10"/>
        <v>50.589342667735366</v>
      </c>
      <c r="CE22">
        <f t="shared" si="10"/>
        <v>50.684037609577828</v>
      </c>
      <c r="CF22">
        <f t="shared" si="10"/>
        <v>50.834271687536628</v>
      </c>
      <c r="CG22">
        <f t="shared" si="10"/>
        <v>50.926589260974652</v>
      </c>
      <c r="CH22">
        <f t="shared" si="10"/>
        <v>51.007309608713911</v>
      </c>
      <c r="CI22">
        <f t="shared" si="10"/>
        <v>51.015861363883872</v>
      </c>
      <c r="CJ22">
        <f t="shared" si="10"/>
        <v>51.032525798392413</v>
      </c>
      <c r="CK22">
        <f t="shared" si="10"/>
        <v>51.1218862077693</v>
      </c>
      <c r="CL22">
        <f t="shared" si="10"/>
        <v>51.584678974872922</v>
      </c>
      <c r="CM22">
        <f t="shared" si="10"/>
        <v>51.821035614295432</v>
      </c>
      <c r="CN22">
        <f t="shared" si="10"/>
        <v>51.89832626111447</v>
      </c>
      <c r="CO22">
        <f t="shared" si="10"/>
        <v>51.969975428059108</v>
      </c>
      <c r="CP22">
        <f t="shared" si="10"/>
        <v>52.188953893276789</v>
      </c>
      <c r="CQ22">
        <f t="shared" si="10"/>
        <v>52.178528879924947</v>
      </c>
      <c r="CR22">
        <f t="shared" si="10"/>
        <v>52.27105010376615</v>
      </c>
      <c r="CS22">
        <f t="shared" si="10"/>
        <v>52.356501527399395</v>
      </c>
      <c r="CT22">
        <f t="shared" si="10"/>
        <v>52.425032686623574</v>
      </c>
      <c r="CU22">
        <f t="shared" si="10"/>
        <v>52.49789251094483</v>
      </c>
      <c r="CV22">
        <f t="shared" si="10"/>
        <v>52.603906358590052</v>
      </c>
      <c r="CW22">
        <f t="shared" si="10"/>
        <v>52.688627796899205</v>
      </c>
      <c r="CX22">
        <f t="shared" si="10"/>
        <v>53.043387668363323</v>
      </c>
      <c r="CY22">
        <f t="shared" si="10"/>
        <v>53.262408496638784</v>
      </c>
      <c r="CZ22">
        <f t="shared" si="10"/>
        <v>53.453472860505947</v>
      </c>
      <c r="DA22">
        <f t="shared" si="10"/>
        <v>53.57879055905579</v>
      </c>
      <c r="DB22">
        <f t="shared" si="10"/>
        <v>53.990256540021925</v>
      </c>
      <c r="DC22">
        <f t="shared" si="10"/>
        <v>54.322871190990448</v>
      </c>
      <c r="DD22">
        <f t="shared" si="10"/>
        <v>54.712010297482642</v>
      </c>
      <c r="DE22">
        <f t="shared" si="10"/>
        <v>54.834563634576341</v>
      </c>
      <c r="DF22">
        <f t="shared" si="10"/>
        <v>55.06093392164324</v>
      </c>
      <c r="DG22">
        <f t="shared" si="10"/>
        <v>55.316045464003601</v>
      </c>
      <c r="DH22">
        <f t="shared" si="10"/>
        <v>55.590326513451146</v>
      </c>
      <c r="DI22">
        <f t="shared" si="10"/>
        <v>55.672918394667249</v>
      </c>
      <c r="DJ22">
        <f t="shared" si="10"/>
        <v>56.407233878716383</v>
      </c>
      <c r="DK22">
        <f t="shared" si="10"/>
        <v>56.801199391446843</v>
      </c>
      <c r="DL22">
        <f t="shared" si="10"/>
        <v>57.183831536238451</v>
      </c>
      <c r="DM22">
        <f t="shared" si="10"/>
        <v>57.388776895830546</v>
      </c>
      <c r="DN22">
        <f t="shared" si="10"/>
        <v>57.824656644557642</v>
      </c>
      <c r="DO22">
        <f t="shared" si="10"/>
        <v>58.158252827102956</v>
      </c>
      <c r="DP22">
        <f t="shared" si="10"/>
        <v>58.450814418281148</v>
      </c>
      <c r="DQ22">
        <f t="shared" si="10"/>
        <v>58.824057581914253</v>
      </c>
      <c r="DR22">
        <f t="shared" si="10"/>
        <v>59.396938863126181</v>
      </c>
      <c r="DS22">
        <f t="shared" si="10"/>
        <v>59.65703104778877</v>
      </c>
      <c r="DT22">
        <f t="shared" si="10"/>
        <v>59.717488768869899</v>
      </c>
      <c r="DU22">
        <f t="shared" si="10"/>
        <v>59.779857045303579</v>
      </c>
      <c r="DV22">
        <f t="shared" si="10"/>
        <v>60.227395673256055</v>
      </c>
      <c r="DW22">
        <f t="shared" si="10"/>
        <v>60.202529282223111</v>
      </c>
      <c r="DX22">
        <f t="shared" si="10"/>
        <v>60.072909390133546</v>
      </c>
      <c r="DY22">
        <f t="shared" si="10"/>
        <v>60.199747088333979</v>
      </c>
      <c r="DZ22">
        <f t="shared" si="10"/>
        <v>60.162959608010013</v>
      </c>
      <c r="EA22">
        <f t="shared" ref="EA22:GL22" si="11">+EB22*(1-EA4/100)</f>
        <v>60.078254356793515</v>
      </c>
      <c r="EB22">
        <f t="shared" si="11"/>
        <v>60.203206636537573</v>
      </c>
      <c r="EC22">
        <f t="shared" si="11"/>
        <v>60.233821498482122</v>
      </c>
      <c r="ED22">
        <f t="shared" si="11"/>
        <v>60.209066906694559</v>
      </c>
      <c r="EE22">
        <f t="shared" si="11"/>
        <v>60.067594660771341</v>
      </c>
      <c r="EF22">
        <f t="shared" si="11"/>
        <v>59.97556981376993</v>
      </c>
      <c r="EG22">
        <f t="shared" si="11"/>
        <v>60.1244000660014</v>
      </c>
      <c r="EH22">
        <f t="shared" si="11"/>
        <v>60.411624307109655</v>
      </c>
      <c r="EI22">
        <f t="shared" si="11"/>
        <v>60.534917145792413</v>
      </c>
      <c r="EJ22">
        <f t="shared" si="11"/>
        <v>60.47029294524458</v>
      </c>
      <c r="EK22">
        <f t="shared" si="11"/>
        <v>60.504237193941442</v>
      </c>
      <c r="EL22">
        <f t="shared" si="11"/>
        <v>60.544375559965054</v>
      </c>
      <c r="EM22">
        <f t="shared" si="11"/>
        <v>60.642109477559515</v>
      </c>
      <c r="EN22">
        <f t="shared" si="11"/>
        <v>60.843527255514921</v>
      </c>
      <c r="EO22">
        <f t="shared" si="11"/>
        <v>60.919211246429057</v>
      </c>
      <c r="EP22">
        <f t="shared" si="11"/>
        <v>60.912406849985025</v>
      </c>
      <c r="EQ22">
        <f t="shared" si="11"/>
        <v>60.915716996645166</v>
      </c>
      <c r="ER22">
        <f t="shared" si="11"/>
        <v>61.015716094285565</v>
      </c>
      <c r="ES22">
        <f t="shared" si="11"/>
        <v>61.149519294058166</v>
      </c>
      <c r="ET22">
        <f t="shared" si="11"/>
        <v>61.495415658496412</v>
      </c>
      <c r="EU22">
        <f t="shared" si="11"/>
        <v>61.576541167119686</v>
      </c>
      <c r="EV22">
        <f t="shared" si="11"/>
        <v>61.784763519178696</v>
      </c>
      <c r="EW22">
        <f t="shared" si="11"/>
        <v>61.774830763290467</v>
      </c>
      <c r="EX22">
        <f t="shared" si="11"/>
        <v>61.850543268871917</v>
      </c>
      <c r="EY22">
        <f t="shared" si="11"/>
        <v>61.931841036816792</v>
      </c>
      <c r="EZ22">
        <f t="shared" si="11"/>
        <v>62.075423741544341</v>
      </c>
      <c r="FA22">
        <f t="shared" si="11"/>
        <v>62.190781290537615</v>
      </c>
      <c r="FB22">
        <f t="shared" si="11"/>
        <v>62.298145226249012</v>
      </c>
      <c r="FC22">
        <f t="shared" si="11"/>
        <v>62.547843227400548</v>
      </c>
      <c r="FD22">
        <f t="shared" si="11"/>
        <v>62.808531753114764</v>
      </c>
      <c r="FE22">
        <f t="shared" si="11"/>
        <v>63.004307733228465</v>
      </c>
      <c r="FF22">
        <f t="shared" si="11"/>
        <v>63.281879803551575</v>
      </c>
      <c r="FG22">
        <f t="shared" si="11"/>
        <v>63.487295516255521</v>
      </c>
      <c r="FH22">
        <f t="shared" si="11"/>
        <v>63.510238349155351</v>
      </c>
      <c r="FI22">
        <f t="shared" si="11"/>
        <v>63.520492122999343</v>
      </c>
      <c r="FJ22">
        <f t="shared" si="11"/>
        <v>63.568555004918871</v>
      </c>
      <c r="FK22">
        <f t="shared" si="11"/>
        <v>63.604425925587435</v>
      </c>
      <c r="FL22">
        <f t="shared" si="11"/>
        <v>63.865427732457512</v>
      </c>
      <c r="FM22">
        <f t="shared" si="11"/>
        <v>63.9412248503413</v>
      </c>
      <c r="FN22">
        <f t="shared" si="11"/>
        <v>64.032814687566272</v>
      </c>
      <c r="FO22">
        <f t="shared" si="11"/>
        <v>64.189856139879325</v>
      </c>
      <c r="FP22">
        <f t="shared" si="11"/>
        <v>64.389639398788603</v>
      </c>
      <c r="FQ22">
        <f t="shared" si="11"/>
        <v>64.493263918988731</v>
      </c>
      <c r="FR22">
        <f t="shared" si="11"/>
        <v>65.019072312179574</v>
      </c>
      <c r="FS22">
        <f t="shared" si="11"/>
        <v>65.191812628572265</v>
      </c>
      <c r="FT22">
        <f t="shared" si="11"/>
        <v>65.207804029369157</v>
      </c>
      <c r="FU22">
        <f t="shared" si="11"/>
        <v>65.33684768210972</v>
      </c>
      <c r="FV22">
        <f t="shared" si="11"/>
        <v>65.40773246120996</v>
      </c>
      <c r="FW22">
        <f t="shared" si="11"/>
        <v>65.52343268896675</v>
      </c>
      <c r="FX22">
        <f t="shared" si="11"/>
        <v>65.840318499619002</v>
      </c>
      <c r="FY22">
        <f t="shared" si="11"/>
        <v>66.098899561425227</v>
      </c>
      <c r="FZ22">
        <f t="shared" si="11"/>
        <v>66.228235119465964</v>
      </c>
      <c r="GA22">
        <f t="shared" si="11"/>
        <v>66.387280415069583</v>
      </c>
      <c r="GB22">
        <f t="shared" si="11"/>
        <v>66.600132544574265</v>
      </c>
      <c r="GC22">
        <f t="shared" si="11"/>
        <v>66.832348157322642</v>
      </c>
      <c r="GD22">
        <f t="shared" si="11"/>
        <v>67.543272622771781</v>
      </c>
      <c r="GE22">
        <f t="shared" si="11"/>
        <v>68.086309657362946</v>
      </c>
      <c r="GF22">
        <f t="shared" si="11"/>
        <v>68.294807005478944</v>
      </c>
      <c r="GG22">
        <f t="shared" si="11"/>
        <v>68.409851428485155</v>
      </c>
      <c r="GH22">
        <f t="shared" si="11"/>
        <v>68.475780866225051</v>
      </c>
      <c r="GI22">
        <f t="shared" si="11"/>
        <v>68.625496913647396</v>
      </c>
      <c r="GJ22">
        <f t="shared" si="11"/>
        <v>69.040581110921138</v>
      </c>
      <c r="GK22">
        <f t="shared" si="11"/>
        <v>69.473878402401155</v>
      </c>
      <c r="GL22">
        <f t="shared" si="11"/>
        <v>69.66322969683641</v>
      </c>
      <c r="GM22">
        <f t="shared" ref="GM22:IX22" si="12">+GN22*(1-GM4/100)</f>
        <v>69.712830430063406</v>
      </c>
      <c r="GN22">
        <f t="shared" si="12"/>
        <v>70.092974739813783</v>
      </c>
      <c r="GO22">
        <f t="shared" si="12"/>
        <v>70.370177684747517</v>
      </c>
      <c r="GP22">
        <f t="shared" si="12"/>
        <v>71.128564659030886</v>
      </c>
      <c r="GQ22">
        <f t="shared" si="12"/>
        <v>71.626272360014838</v>
      </c>
      <c r="GR22">
        <f t="shared" si="12"/>
        <v>71.819296279350311</v>
      </c>
      <c r="GS22">
        <f t="shared" si="12"/>
        <v>71.968303203130986</v>
      </c>
      <c r="GT22">
        <f t="shared" si="12"/>
        <v>72.214127787089268</v>
      </c>
      <c r="GU22">
        <f t="shared" si="12"/>
        <v>72.522516111281632</v>
      </c>
      <c r="GV22">
        <f t="shared" si="12"/>
        <v>72.874839190381195</v>
      </c>
      <c r="GW22">
        <f t="shared" si="12"/>
        <v>73.201873842555997</v>
      </c>
      <c r="GX22">
        <f t="shared" si="12"/>
        <v>73.39278912070769</v>
      </c>
      <c r="GY22">
        <f t="shared" si="12"/>
        <v>73.497565679697686</v>
      </c>
      <c r="GZ22">
        <f t="shared" si="12"/>
        <v>73.801081779851472</v>
      </c>
      <c r="HA22">
        <f t="shared" si="12"/>
        <v>74.125471370324362</v>
      </c>
      <c r="HB22">
        <f t="shared" si="12"/>
        <v>74.712176205646401</v>
      </c>
      <c r="HC22">
        <f t="shared" si="12"/>
        <v>75.136669439322574</v>
      </c>
      <c r="HD22">
        <f t="shared" si="12"/>
        <v>75.24270055077875</v>
      </c>
      <c r="HE22">
        <f t="shared" si="12"/>
        <v>75.393881077356937</v>
      </c>
      <c r="HF22">
        <f t="shared" si="12"/>
        <v>75.587979012404404</v>
      </c>
      <c r="HG22">
        <f t="shared" si="12"/>
        <v>75.710884038275765</v>
      </c>
      <c r="HH22">
        <f t="shared" si="12"/>
        <v>75.76431822837678</v>
      </c>
      <c r="HI22">
        <f t="shared" si="12"/>
        <v>75.87213488332344</v>
      </c>
      <c r="HJ22">
        <f t="shared" si="12"/>
        <v>75.973193864359914</v>
      </c>
      <c r="HK22">
        <f t="shared" si="12"/>
        <v>75.977493824298847</v>
      </c>
      <c r="HL22">
        <f t="shared" si="12"/>
        <v>76.258140575948644</v>
      </c>
      <c r="HM22">
        <f t="shared" si="12"/>
        <v>76.502503630644995</v>
      </c>
      <c r="HN22">
        <f t="shared" si="12"/>
        <v>76.952180328131334</v>
      </c>
      <c r="HO22">
        <f t="shared" si="12"/>
        <v>77.321423509687904</v>
      </c>
      <c r="HP22">
        <f t="shared" si="12"/>
        <v>77.403405034319164</v>
      </c>
      <c r="HQ22">
        <f t="shared" si="12"/>
        <v>77.419156952766414</v>
      </c>
      <c r="HR22">
        <f t="shared" si="12"/>
        <v>77.498811633316635</v>
      </c>
      <c r="HS22">
        <f t="shared" si="12"/>
        <v>77.573366385744748</v>
      </c>
      <c r="HT22">
        <f t="shared" si="12"/>
        <v>77.552421237208549</v>
      </c>
      <c r="HU22">
        <f t="shared" si="12"/>
        <v>77.801062307569637</v>
      </c>
      <c r="HV22">
        <f t="shared" si="12"/>
        <v>77.70841627596657</v>
      </c>
      <c r="HW22">
        <f t="shared" si="12"/>
        <v>77.708531675467356</v>
      </c>
      <c r="HX22">
        <f t="shared" si="12"/>
        <v>78.005521745825277</v>
      </c>
      <c r="HY22">
        <f t="shared" si="12"/>
        <v>78.10847266743292</v>
      </c>
      <c r="HZ22">
        <f t="shared" si="12"/>
        <v>78.582315900615583</v>
      </c>
      <c r="IA22">
        <f t="shared" si="12"/>
        <v>78.777107947512761</v>
      </c>
      <c r="IB22">
        <f t="shared" si="12"/>
        <v>78.923635895156153</v>
      </c>
      <c r="IC22">
        <f t="shared" si="12"/>
        <v>79.051262918032492</v>
      </c>
      <c r="ID22">
        <f t="shared" si="12"/>
        <v>79.125103433047471</v>
      </c>
      <c r="IE22">
        <f t="shared" si="12"/>
        <v>79.172018498973031</v>
      </c>
      <c r="IF22">
        <f t="shared" si="12"/>
        <v>79.228636919779547</v>
      </c>
      <c r="IG22">
        <f t="shared" si="12"/>
        <v>79.403157255685244</v>
      </c>
      <c r="IH22">
        <f t="shared" si="12"/>
        <v>79.451533874067735</v>
      </c>
      <c r="II22">
        <f t="shared" si="12"/>
        <v>79.42859888758467</v>
      </c>
      <c r="IJ22">
        <f t="shared" si="12"/>
        <v>79.737124027235083</v>
      </c>
      <c r="IK22">
        <f t="shared" si="12"/>
        <v>79.922050933500799</v>
      </c>
      <c r="IL22">
        <f t="shared" si="12"/>
        <v>80.437516090646483</v>
      </c>
      <c r="IM22">
        <f t="shared" si="12"/>
        <v>80.665232344358117</v>
      </c>
      <c r="IN22">
        <f t="shared" si="12"/>
        <v>80.739216522404092</v>
      </c>
      <c r="IO22">
        <f t="shared" si="12"/>
        <v>80.784143942239396</v>
      </c>
      <c r="IP22">
        <f t="shared" si="12"/>
        <v>80.941844986655582</v>
      </c>
      <c r="IQ22">
        <f t="shared" si="12"/>
        <v>80.970337286422335</v>
      </c>
      <c r="IR22">
        <f t="shared" si="12"/>
        <v>81.056748162702149</v>
      </c>
      <c r="IS22">
        <f t="shared" si="12"/>
        <v>81.259842935085246</v>
      </c>
      <c r="IT22">
        <f t="shared" si="12"/>
        <v>81.300145825481252</v>
      </c>
      <c r="IU22">
        <f t="shared" si="12"/>
        <v>81.449626797144219</v>
      </c>
      <c r="IV22">
        <f t="shared" si="12"/>
        <v>81.590079072737453</v>
      </c>
      <c r="IW22">
        <f t="shared" si="12"/>
        <v>81.95726262880244</v>
      </c>
      <c r="IX22">
        <f t="shared" si="12"/>
        <v>82.49141709693464</v>
      </c>
      <c r="IY22">
        <f t="shared" ref="IY22:IZ22" si="13">+IZ22*(1-IY4/100)</f>
        <v>82.849625851111497</v>
      </c>
      <c r="IZ22">
        <f t="shared" ref="IZ22:KC22" si="14">+JA22*(1-IZ4/100)</f>
        <v>82.865227389635422</v>
      </c>
      <c r="JA22">
        <f t="shared" si="14"/>
        <v>82.807083193812034</v>
      </c>
      <c r="JB22">
        <f t="shared" si="14"/>
        <v>82.972049912759516</v>
      </c>
      <c r="JC22">
        <f t="shared" si="14"/>
        <v>83.109976875044595</v>
      </c>
      <c r="JD22">
        <f t="shared" si="14"/>
        <v>83.408955716301492</v>
      </c>
      <c r="JE22">
        <f t="shared" si="14"/>
        <v>83.841523653236933</v>
      </c>
      <c r="JF22">
        <f t="shared" si="14"/>
        <v>83.842805481453254</v>
      </c>
      <c r="JG22">
        <f t="shared" si="14"/>
        <v>84.012315323817347</v>
      </c>
      <c r="JH22">
        <f t="shared" si="14"/>
        <v>84.428198894467315</v>
      </c>
      <c r="JI22">
        <f t="shared" si="14"/>
        <v>84.516583828537819</v>
      </c>
      <c r="JJ22">
        <f t="shared" si="14"/>
        <v>84.960874866512555</v>
      </c>
      <c r="JK22">
        <f t="shared" si="14"/>
        <v>85.424061296242868</v>
      </c>
      <c r="JL22">
        <f t="shared" si="14"/>
        <v>85.626611976778946</v>
      </c>
      <c r="JM22">
        <f t="shared" si="14"/>
        <v>85.535724792334634</v>
      </c>
      <c r="JN22">
        <f t="shared" si="14"/>
        <v>86.083649845710553</v>
      </c>
      <c r="JO22">
        <f t="shared" si="14"/>
        <v>86.287412674794282</v>
      </c>
      <c r="JP22">
        <f t="shared" si="14"/>
        <v>86.957000080735128</v>
      </c>
      <c r="JQ22">
        <f t="shared" si="14"/>
        <v>87.285510936185901</v>
      </c>
      <c r="JR22">
        <f t="shared" si="14"/>
        <v>87.858724283820948</v>
      </c>
      <c r="JS22">
        <f t="shared" si="14"/>
        <v>88.509228379889706</v>
      </c>
      <c r="JT22">
        <f t="shared" si="14"/>
        <v>89.468829446899591</v>
      </c>
      <c r="JU22">
        <f t="shared" si="14"/>
        <v>90.084333704488515</v>
      </c>
      <c r="JV22">
        <f t="shared" si="14"/>
        <v>91.35895593674519</v>
      </c>
      <c r="JW22">
        <f t="shared" si="14"/>
        <v>92.413154662532818</v>
      </c>
      <c r="JX22">
        <f t="shared" si="14"/>
        <v>93.220589760075086</v>
      </c>
      <c r="JY22">
        <f t="shared" si="14"/>
        <v>93.899305612727559</v>
      </c>
      <c r="JZ22">
        <f t="shared" si="14"/>
        <v>94.622347626056651</v>
      </c>
      <c r="KA22">
        <f t="shared" si="14"/>
        <v>95.43006477125769</v>
      </c>
      <c r="KB22">
        <f t="shared" si="14"/>
        <v>96.264733504087886</v>
      </c>
      <c r="KC22">
        <f t="shared" si="14"/>
        <v>96.440345478770809</v>
      </c>
      <c r="KD22">
        <f>+KE22*(1-KD4/100)</f>
        <v>97.193325593793531</v>
      </c>
      <c r="KE22">
        <f>+KF13</f>
        <v>97.476974897749358</v>
      </c>
      <c r="KF22">
        <f>+KE22*(1+KF4/100)</f>
        <v>98.103309040612331</v>
      </c>
      <c r="KG22">
        <f t="shared" ref="KG22:LR22" si="15">+KF22*(1+KG4/100)</f>
        <v>99.245271145473353</v>
      </c>
      <c r="KH22">
        <f t="shared" si="15"/>
        <v>99.910895047511886</v>
      </c>
      <c r="KI22">
        <f t="shared" si="15"/>
        <v>100.36741953379561</v>
      </c>
      <c r="KJ22">
        <f t="shared" si="15"/>
        <v>100.38715732883099</v>
      </c>
      <c r="KK22">
        <f t="shared" si="15"/>
        <v>100.60419194966866</v>
      </c>
      <c r="KL22">
        <f t="shared" si="15"/>
        <v>100.49803385903657</v>
      </c>
      <c r="KM22">
        <f t="shared" si="15"/>
        <v>100.69124449079871</v>
      </c>
      <c r="KN22">
        <f t="shared" si="15"/>
        <v>100.65764317003287</v>
      </c>
      <c r="KO22">
        <f t="shared" si="15"/>
        <v>101.16643034815959</v>
      </c>
      <c r="KP22">
        <f t="shared" si="15"/>
        <v>100.89142918833025</v>
      </c>
      <c r="KQ22">
        <f t="shared" si="15"/>
        <v>101.62421438548013</v>
      </c>
      <c r="KR22">
        <f t="shared" si="15"/>
        <v>102.24238454273883</v>
      </c>
      <c r="KS22">
        <f t="shared" si="15"/>
        <v>102.87675843731846</v>
      </c>
      <c r="KT22">
        <f t="shared" si="15"/>
        <v>103.43248252325712</v>
      </c>
      <c r="KU22">
        <f t="shared" si="15"/>
        <v>103.84637408608705</v>
      </c>
      <c r="KV22">
        <f t="shared" si="15"/>
        <v>103.5943445606877</v>
      </c>
      <c r="KW22">
        <f t="shared" si="15"/>
        <v>104.06675624551316</v>
      </c>
      <c r="KX22">
        <f t="shared" si="15"/>
        <v>104.16742915538353</v>
      </c>
      <c r="KY22">
        <f t="shared" si="15"/>
        <v>104.52059459161912</v>
      </c>
      <c r="KZ22">
        <f t="shared" si="15"/>
        <v>104.95213279123661</v>
      </c>
      <c r="LA22">
        <f t="shared" si="15"/>
        <v>105.24079479300337</v>
      </c>
      <c r="LB22">
        <f t="shared" si="15"/>
        <v>105.2451966021797</v>
      </c>
      <c r="LC22">
        <f t="shared" si="15"/>
        <v>105.90349007450855</v>
      </c>
      <c r="LD22">
        <f t="shared" si="15"/>
        <v>106.18523406185359</v>
      </c>
      <c r="LE22">
        <f t="shared" si="15"/>
        <v>106.64307191629729</v>
      </c>
      <c r="LF22">
        <f t="shared" si="15"/>
        <v>107.09560725968696</v>
      </c>
      <c r="LG22">
        <f t="shared" si="15"/>
        <v>107.54365689372545</v>
      </c>
      <c r="LH22">
        <f t="shared" si="15"/>
        <v>107.52441915362101</v>
      </c>
      <c r="LI22">
        <f t="shared" si="15"/>
        <v>108.20873978020808</v>
      </c>
      <c r="LJ22">
        <f t="shared" si="15"/>
        <v>108.21367799050265</v>
      </c>
      <c r="LK22">
        <f t="shared" si="15"/>
        <v>108.64206888355903</v>
      </c>
      <c r="LL22">
        <f t="shared" si="15"/>
        <v>108.5639985208076</v>
      </c>
      <c r="LM22">
        <f t="shared" si="15"/>
        <v>108.82210085886746</v>
      </c>
      <c r="LN22">
        <f t="shared" si="15"/>
        <v>108.7517226121516</v>
      </c>
      <c r="LO22">
        <f t="shared" si="15"/>
        <v>109.55221278091459</v>
      </c>
      <c r="LP22">
        <f t="shared" si="15"/>
        <v>109.73955007145221</v>
      </c>
      <c r="LQ22">
        <f t="shared" si="15"/>
        <v>110.27620919021284</v>
      </c>
      <c r="LR22">
        <f t="shared" si="15"/>
        <v>110.78038974126613</v>
      </c>
    </row>
  </sheetData>
  <mergeCells count="1">
    <mergeCell ref="A1:LR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baseColWidth="10" defaultRowHeight="14.4" x14ac:dyDescent="0.3"/>
  <cols>
    <col min="1" max="1" width="35" customWidth="1"/>
    <col min="2" max="2" width="140" customWidth="1"/>
  </cols>
  <sheetData>
    <row r="1" spans="1:2" x14ac:dyDescent="0.3">
      <c r="A1" s="3" t="s">
        <v>6</v>
      </c>
      <c r="B1" s="3" t="s">
        <v>0</v>
      </c>
    </row>
    <row r="2" spans="1:2" x14ac:dyDescent="0.3">
      <c r="A2" s="3" t="s">
        <v>7</v>
      </c>
      <c r="B2" s="3" t="s">
        <v>8</v>
      </c>
    </row>
    <row r="3" spans="1:2" x14ac:dyDescent="0.3">
      <c r="A3" s="3" t="s">
        <v>9</v>
      </c>
      <c r="B3" s="3" t="s">
        <v>10</v>
      </c>
    </row>
    <row r="4" spans="1:2" x14ac:dyDescent="0.3">
      <c r="A4" s="3" t="s">
        <v>11</v>
      </c>
      <c r="B4" s="3" t="s">
        <v>12</v>
      </c>
    </row>
    <row r="5" spans="1:2" x14ac:dyDescent="0.3">
      <c r="A5" s="3" t="s">
        <v>13</v>
      </c>
      <c r="B5" s="3" t="s">
        <v>14</v>
      </c>
    </row>
    <row r="6" spans="1:2" x14ac:dyDescent="0.3">
      <c r="A6" s="3" t="s">
        <v>15</v>
      </c>
      <c r="B6" s="3" t="s">
        <v>16</v>
      </c>
    </row>
    <row r="7" spans="1:2" x14ac:dyDescent="0.3">
      <c r="A7" s="3" t="s">
        <v>17</v>
      </c>
      <c r="B7" s="3" t="s">
        <v>18</v>
      </c>
    </row>
    <row r="8" spans="1:2" x14ac:dyDescent="0.3">
      <c r="A8" s="3" t="s">
        <v>19</v>
      </c>
      <c r="B8" s="3" t="s">
        <v>20</v>
      </c>
    </row>
    <row r="9" spans="1:2" ht="28.8" x14ac:dyDescent="0.3">
      <c r="A9" s="3" t="s">
        <v>21</v>
      </c>
      <c r="B9" s="3" t="s">
        <v>22</v>
      </c>
    </row>
    <row r="10" spans="1:2" ht="28.8" x14ac:dyDescent="0.3">
      <c r="A10" s="3" t="s">
        <v>23</v>
      </c>
      <c r="B10" s="3" t="s">
        <v>24</v>
      </c>
    </row>
    <row r="11" spans="1:2" ht="409.6" x14ac:dyDescent="0.3">
      <c r="A11" s="3" t="s">
        <v>25</v>
      </c>
      <c r="B11" s="3"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RowHeight="14.4" x14ac:dyDescent="0.3"/>
  <cols>
    <col min="1" max="1" width="40" customWidth="1"/>
    <col min="2" max="2" width="120" customWidth="1"/>
  </cols>
  <sheetData>
    <row r="1" spans="1:2" ht="15.6" x14ac:dyDescent="0.3">
      <c r="A1" s="5" t="s">
        <v>27</v>
      </c>
      <c r="B1" s="5" t="s">
        <v>28</v>
      </c>
    </row>
    <row r="2" spans="1:2" x14ac:dyDescent="0.3">
      <c r="A2" s="3" t="s">
        <v>29</v>
      </c>
      <c r="B2" s="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Cuadro</vt:lpstr>
      <vt:lpstr>Metadatos</vt:lpstr>
      <vt:lpstr>Series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Eduardo Contreras Contreras</cp:lastModifiedBy>
  <dcterms:modified xsi:type="dcterms:W3CDTF">2026-06-05T03:22:47Z</dcterms:modified>
</cp:coreProperties>
</file>